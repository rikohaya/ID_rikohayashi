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辛い麺 5000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FFE4B5"/>
        <bgColor rgb="00FFE4B5"/>
      </patternFill>
    </fill>
    <fill>
      <patternFill patternType="solid">
        <fgColor rgb="00E6F3FF"/>
        <bgColor rgb="00E6F3FF"/>
      </patternFill>
    </fill>
    <fill>
      <patternFill patternType="solid">
        <fgColor rgb="00F5F5F5"/>
        <bgColor rgb="00F5F5F5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9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 wrapText="1"/>
    </xf>
    <xf numFmtId="9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9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 wrapText="1"/>
    </xf>
    <xf numFmtId="9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9" fontId="0" fillId="0" borderId="1" pivotButton="0" quotePrefix="0" xfId="0"/>
    <xf numFmtId="3" fontId="1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3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6" customWidth="1" min="4" max="4"/>
    <col width="8" customWidth="1" min="5" max="5"/>
    <col width="8" customWidth="1" min="6" max="6"/>
    <col width="10" customWidth="1" min="7" max="7"/>
    <col width="9" customWidth="1" min="8" max="8"/>
    <col width="12" customWidth="1" min="9" max="9"/>
    <col width="10" customWidth="1" min="10" max="10"/>
    <col width="8" customWidth="1" min="11" max="11"/>
    <col width="10" customWidth="1" min="12" max="12"/>
    <col width="7" customWidth="1" min="13" max="13"/>
    <col width="10" customWidth="1" min="14" max="14"/>
    <col width="8" customWidth="1" min="15" max="15"/>
    <col width="6" customWidth="1" min="16" max="16"/>
    <col width="12" customWidth="1" min="17" max="17"/>
    <col width="9" customWidth="1" min="18" max="18"/>
    <col width="8" customWidth="1" min="19" max="19"/>
    <col width="12" customWidth="1" min="20" max="20"/>
    <col width="9" customWidth="1" min="21" max="21"/>
    <col width="9" customWidth="1" min="22" max="22"/>
  </cols>
  <sheetData>
    <row r="2">
      <c r="A2" s="1" t="inlineStr">
        <is>
          <t>フェーズ</t>
        </is>
      </c>
      <c r="B2" s="1" t="inlineStr">
        <is>
          <t>目的</t>
        </is>
      </c>
      <c r="C2" s="1" t="inlineStr">
        <is>
          <t>項目</t>
        </is>
      </c>
      <c r="D2" s="1" t="inlineStr">
        <is>
          <t>小項目</t>
        </is>
      </c>
      <c r="E2" s="1" t="inlineStr">
        <is>
          <t>Media</t>
        </is>
      </c>
      <c r="F2" s="1" t="inlineStr">
        <is>
          <t>配信有無</t>
        </is>
      </c>
      <c r="G2" s="1" t="inlineStr">
        <is>
          <t>フォロワー規模</t>
        </is>
      </c>
      <c r="H2" s="1" t="inlineStr">
        <is>
          <t>Allocation
Detail</t>
        </is>
      </c>
      <c r="I2" s="1" t="inlineStr">
        <is>
          <t>Budget(¥)</t>
        </is>
      </c>
      <c r="J2" s="1" t="inlineStr">
        <is>
          <t>KPI</t>
        </is>
      </c>
      <c r="K2" s="1" t="inlineStr">
        <is>
          <t>FW単価</t>
        </is>
      </c>
      <c r="L2" s="1" t="inlineStr">
        <is>
          <t>合計
Fw数</t>
        </is>
      </c>
      <c r="M2" s="1" t="inlineStr">
        <is>
          <t>投稿数</t>
        </is>
      </c>
      <c r="N2" s="1" t="inlineStr">
        <is>
          <t>平均
フォロワー数</t>
        </is>
      </c>
      <c r="O2" s="1" t="inlineStr">
        <is>
          <t>リーチ率</t>
        </is>
      </c>
      <c r="P2" s="1" t="inlineStr">
        <is>
          <t>FQ</t>
        </is>
      </c>
      <c r="Q2" s="1" t="inlineStr">
        <is>
          <t>リーチ数</t>
        </is>
      </c>
      <c r="R2" s="1" t="inlineStr">
        <is>
          <t>リーチ単価</t>
        </is>
      </c>
      <c r="S2" s="1" t="inlineStr">
        <is>
          <t>imp率</t>
        </is>
      </c>
      <c r="T2" s="1" t="inlineStr">
        <is>
          <t>IMP</t>
        </is>
      </c>
      <c r="U2" s="1" t="inlineStr">
        <is>
          <t>IMP単価</t>
        </is>
      </c>
      <c r="V2" s="1" t="inlineStr">
        <is>
          <t>CPM</t>
        </is>
      </c>
    </row>
    <row r="3">
      <c r="A3" s="2" t="inlineStr">
        <is>
          <t>Phase1</t>
        </is>
      </c>
      <c r="B3" s="2" t="inlineStr">
        <is>
          <t>辛いもの
イノベーター</t>
        </is>
      </c>
      <c r="C3" s="2" t="inlineStr">
        <is>
          <t>メガKOLギフティング</t>
        </is>
      </c>
      <c r="D3" s="2" t="inlineStr">
        <is>
          <t>YouTube/IG/X複合 世界観訴求</t>
        </is>
      </c>
      <c r="E3" s="2" t="inlineStr">
        <is>
          <t>YT/IG/X</t>
        </is>
      </c>
      <c r="F3" s="2" t="inlineStr">
        <is>
          <t>無し</t>
        </is>
      </c>
      <c r="G3" s="2" t="inlineStr">
        <is>
          <t>Mega</t>
        </is>
      </c>
      <c r="H3" s="3">
        <f>I3/$I$29</f>
        <v/>
      </c>
      <c r="I3" s="4" t="n">
        <v>2500000</v>
      </c>
      <c r="J3" s="2" t="inlineStr">
        <is>
          <t>総リーチ数</t>
        </is>
      </c>
      <c r="K3" s="2" t="n">
        <v>5</v>
      </c>
      <c r="L3" s="4">
        <f>I3/K3</f>
        <v/>
      </c>
      <c r="M3" s="2" t="n">
        <v>1</v>
      </c>
      <c r="N3" s="4" t="n">
        <v>1200000</v>
      </c>
      <c r="O3" s="5" t="n">
        <v>0.2</v>
      </c>
      <c r="P3" s="2" t="n">
        <v>3</v>
      </c>
      <c r="Q3" s="4">
        <f>M3*N3*O3*P3</f>
        <v/>
      </c>
      <c r="R3" s="6">
        <f>IF(Q3&gt;0,I3/Q3,"")</f>
        <v/>
      </c>
      <c r="S3" s="5" t="n">
        <v>0.5</v>
      </c>
      <c r="T3" s="4">
        <f>Q3/S3</f>
        <v/>
      </c>
      <c r="U3" s="6">
        <f>IF(T3&gt;0,I3/T3,"")</f>
        <v/>
      </c>
      <c r="V3" s="4">
        <f>IF(T3&gt;0,I3/T3*1000,"")</f>
        <v/>
      </c>
    </row>
    <row r="4">
      <c r="A4" s="2" t="inlineStr"/>
      <c r="B4" s="2" t="inlineStr"/>
      <c r="C4" s="2" t="inlineStr">
        <is>
          <t>ミドルKOLギフティング</t>
        </is>
      </c>
      <c r="D4" s="2" t="inlineStr">
        <is>
          <t>辛いものイノベーター層</t>
        </is>
      </c>
      <c r="E4" s="2" t="inlineStr">
        <is>
          <t>TT/IG</t>
        </is>
      </c>
      <c r="F4" s="2" t="inlineStr">
        <is>
          <t>無し</t>
        </is>
      </c>
      <c r="G4" s="2" t="inlineStr">
        <is>
          <t>Middle</t>
        </is>
      </c>
      <c r="H4" s="3">
        <f>I4/$I$29</f>
        <v/>
      </c>
      <c r="I4" s="4" t="n">
        <v>2000000</v>
      </c>
      <c r="J4" s="2" t="inlineStr">
        <is>
          <t>リーチ数</t>
        </is>
      </c>
      <c r="K4" s="2" t="n">
        <v>4</v>
      </c>
      <c r="L4" s="4">
        <f>I4/K4</f>
        <v/>
      </c>
      <c r="M4" s="2" t="n">
        <v>4</v>
      </c>
      <c r="N4" s="4" t="n">
        <v>150000</v>
      </c>
      <c r="O4" s="5" t="n">
        <v>0.25</v>
      </c>
      <c r="P4" s="2" t="n">
        <v>3</v>
      </c>
      <c r="Q4" s="4">
        <f>M4*N4*O4*P4</f>
        <v/>
      </c>
      <c r="R4" s="6">
        <f>IF(Q4&gt;0,I4/Q4,"")</f>
        <v/>
      </c>
      <c r="S4" s="5" t="n">
        <v>0.5</v>
      </c>
      <c r="T4" s="4">
        <f>Q4/S4</f>
        <v/>
      </c>
      <c r="U4" s="6">
        <f>IF(T4&gt;0,I4/T4,"")</f>
        <v/>
      </c>
      <c r="V4" s="4">
        <f>IF(T4&gt;0,I4/T4*1000,"")</f>
        <v/>
      </c>
    </row>
    <row r="5">
      <c r="A5" s="2" t="inlineStr"/>
      <c r="B5" s="2" t="inlineStr"/>
      <c r="C5" s="2" t="inlineStr">
        <is>
          <t>商品・SPECIAL BOX</t>
        </is>
      </c>
      <c r="D5" s="2" t="inlineStr">
        <is>
          <t>30名分制作・発送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3">
        <f>I5/$I$29</f>
        <v/>
      </c>
      <c r="I5" s="4" t="n">
        <v>1000000</v>
      </c>
      <c r="J5" s="2" t="inlineStr">
        <is>
          <t>発送数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7" t="inlineStr"/>
      <c r="B6" s="7" t="inlineStr">
        <is>
          <t>広告配信</t>
        </is>
      </c>
      <c r="C6" s="7" t="inlineStr">
        <is>
          <t>広告配信</t>
        </is>
      </c>
      <c r="D6" s="7" t="inlineStr">
        <is>
          <t>ティザー・解禁情報拡散</t>
        </is>
      </c>
      <c r="E6" s="7" t="inlineStr">
        <is>
          <t>X</t>
        </is>
      </c>
      <c r="F6" s="7" t="inlineStr"/>
      <c r="G6" s="7" t="inlineStr">
        <is>
          <t>-</t>
        </is>
      </c>
      <c r="H6" s="8">
        <f>I6/$I$29</f>
        <v/>
      </c>
      <c r="I6" s="9" t="n">
        <v>2000000</v>
      </c>
      <c r="J6" s="7" t="inlineStr">
        <is>
          <t>imp数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9" t="n">
        <v>10000000</v>
      </c>
      <c r="U6" s="10">
        <f>I6/T6</f>
        <v/>
      </c>
      <c r="V6" s="9">
        <f>I6/T6*1000</f>
        <v/>
      </c>
    </row>
    <row r="7">
      <c r="A7" s="7" t="inlineStr"/>
      <c r="B7" s="7" t="inlineStr"/>
      <c r="C7" s="7" t="inlineStr">
        <is>
          <t>広告配信</t>
        </is>
      </c>
      <c r="D7" s="7" t="inlineStr">
        <is>
          <t>ギフティング投稿ブースト</t>
        </is>
      </c>
      <c r="E7" s="7" t="inlineStr">
        <is>
          <t>TT</t>
        </is>
      </c>
      <c r="F7" s="7" t="inlineStr"/>
      <c r="G7" s="7" t="inlineStr">
        <is>
          <t>-</t>
        </is>
      </c>
      <c r="H7" s="8">
        <f>I7/$I$29</f>
        <v/>
      </c>
      <c r="I7" s="9" t="n">
        <v>1000000</v>
      </c>
      <c r="J7" s="7" t="inlineStr">
        <is>
          <t>imp数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9" t="n">
        <v>5000000</v>
      </c>
      <c r="U7" s="10">
        <f>I7/T7</f>
        <v/>
      </c>
      <c r="V7" s="9">
        <f>I7/T7*1000</f>
        <v/>
      </c>
    </row>
    <row r="8">
      <c r="A8" s="11" t="inlineStr">
        <is>
          <t>Phase2</t>
        </is>
      </c>
      <c r="B8" s="11" t="inlineStr">
        <is>
          <t>辛いもの/韓国好き
（発売盛り上げ）</t>
        </is>
      </c>
      <c r="C8" s="11" t="inlineStr">
        <is>
          <t>メガKOL モッパン</t>
        </is>
      </c>
      <c r="D8" s="11" t="inlineStr">
        <is>
          <t>モッパン系コンテンツ</t>
        </is>
      </c>
      <c r="E8" s="11" t="inlineStr">
        <is>
          <t>TT</t>
        </is>
      </c>
      <c r="F8" s="11" t="inlineStr">
        <is>
          <t>有り</t>
        </is>
      </c>
      <c r="G8" s="11" t="inlineStr">
        <is>
          <t>Mega</t>
        </is>
      </c>
      <c r="H8" s="12">
        <f>I8/$I$29</f>
        <v/>
      </c>
      <c r="I8" s="13" t="n">
        <v>2500000</v>
      </c>
      <c r="J8" s="11" t="inlineStr">
        <is>
          <t>再生数</t>
        </is>
      </c>
      <c r="K8" s="11" t="n">
        <v>4</v>
      </c>
      <c r="L8" s="13">
        <f>I8/K8</f>
        <v/>
      </c>
      <c r="M8" s="11" t="n">
        <v>1</v>
      </c>
      <c r="N8" s="13" t="n">
        <v>1500000</v>
      </c>
      <c r="O8" s="14" t="n">
        <v>0.3</v>
      </c>
      <c r="P8" s="11" t="n">
        <v>3</v>
      </c>
      <c r="Q8" s="13">
        <f>M8*N8*O8*P8</f>
        <v/>
      </c>
      <c r="R8" s="15">
        <f>IF(Q8&gt;0,I8/Q8,"")</f>
        <v/>
      </c>
      <c r="S8" s="14" t="n">
        <v>0.5</v>
      </c>
      <c r="T8" s="13">
        <f>Q8/S8</f>
        <v/>
      </c>
      <c r="U8" s="15">
        <f>IF(T8&gt;0,I8/T8,"")</f>
        <v/>
      </c>
      <c r="V8" s="13">
        <f>IF(T8&gt;0,I8/T8*1000,"")</f>
        <v/>
      </c>
    </row>
    <row r="9">
      <c r="A9" s="11" t="inlineStr"/>
      <c r="B9" s="11" t="inlineStr"/>
      <c r="C9" s="11" t="inlineStr">
        <is>
          <t>ミドルKOL モッパン</t>
        </is>
      </c>
      <c r="D9" s="11" t="inlineStr">
        <is>
          <t>新発売HOOK+モッパン</t>
        </is>
      </c>
      <c r="E9" s="11" t="inlineStr">
        <is>
          <t>TT</t>
        </is>
      </c>
      <c r="F9" s="11" t="inlineStr">
        <is>
          <t>有り</t>
        </is>
      </c>
      <c r="G9" s="11" t="inlineStr">
        <is>
          <t>Middle</t>
        </is>
      </c>
      <c r="H9" s="12">
        <f>I9/$I$29</f>
        <v/>
      </c>
      <c r="I9" s="13" t="n">
        <v>1500000</v>
      </c>
      <c r="J9" s="11" t="inlineStr">
        <is>
          <t>再生数</t>
        </is>
      </c>
      <c r="K9" s="11" t="n">
        <v>4</v>
      </c>
      <c r="L9" s="13">
        <f>I9/K9</f>
        <v/>
      </c>
      <c r="M9" s="11" t="n">
        <v>2</v>
      </c>
      <c r="N9" s="13" t="n">
        <v>200000</v>
      </c>
      <c r="O9" s="14" t="n">
        <v>0.3</v>
      </c>
      <c r="P9" s="11" t="n">
        <v>3</v>
      </c>
      <c r="Q9" s="13">
        <f>M9*N9*O9*P9</f>
        <v/>
      </c>
      <c r="R9" s="15">
        <f>IF(Q9&gt;0,I9/Q9,"")</f>
        <v/>
      </c>
      <c r="S9" s="14" t="n">
        <v>0.5</v>
      </c>
      <c r="T9" s="13">
        <f>Q9/S9</f>
        <v/>
      </c>
      <c r="U9" s="15">
        <f>IF(T9&gt;0,I9/T9,"")</f>
        <v/>
      </c>
      <c r="V9" s="13">
        <f>IF(T9&gt;0,I9/T9*1000,"")</f>
        <v/>
      </c>
    </row>
    <row r="10">
      <c r="A10" s="11" t="inlineStr"/>
      <c r="B10" s="11" t="inlineStr"/>
      <c r="C10" s="11" t="inlineStr">
        <is>
          <t>商品費</t>
        </is>
      </c>
      <c r="D10" s="11" t="inlineStr">
        <is>
          <t>モッパン系用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2">
        <f>I10/$I$29</f>
        <v/>
      </c>
      <c r="I10" s="13" t="n">
        <v>500000</v>
      </c>
      <c r="J10" s="11" t="inlineStr">
        <is>
          <t>-</t>
        </is>
      </c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</row>
    <row r="11">
      <c r="A11" s="11" t="inlineStr"/>
      <c r="B11" s="11" t="inlineStr">
        <is>
          <t>辛い麺顧客獲得
トライブハック①</t>
        </is>
      </c>
      <c r="C11" s="11" t="inlineStr">
        <is>
          <t>メガKOL</t>
        </is>
      </c>
      <c r="D11" s="11" t="inlineStr">
        <is>
          <t>金曜夜の疲れ/理不尽トラブル後
ワンオペ育児後/チートデイ</t>
        </is>
      </c>
      <c r="E11" s="11" t="inlineStr">
        <is>
          <t>TT</t>
        </is>
      </c>
      <c r="F11" s="11" t="inlineStr">
        <is>
          <t>有り</t>
        </is>
      </c>
      <c r="G11" s="11" t="inlineStr">
        <is>
          <t>Mega</t>
        </is>
      </c>
      <c r="H11" s="12">
        <f>I11/$I$29</f>
        <v/>
      </c>
      <c r="I11" s="13" t="n">
        <v>4000000</v>
      </c>
      <c r="J11" s="11" t="inlineStr">
        <is>
          <t>再生数</t>
        </is>
      </c>
      <c r="K11" s="11" t="n">
        <v>4</v>
      </c>
      <c r="L11" s="13">
        <f>I11/K11</f>
        <v/>
      </c>
      <c r="M11" s="11" t="n">
        <v>1</v>
      </c>
      <c r="N11" s="13" t="n">
        <v>1200000</v>
      </c>
      <c r="O11" s="14" t="n">
        <v>0.3</v>
      </c>
      <c r="P11" s="11" t="n">
        <v>3</v>
      </c>
      <c r="Q11" s="13">
        <f>M11*N11*O11*P11</f>
        <v/>
      </c>
      <c r="R11" s="15">
        <f>IF(Q11&gt;0,I11/Q11,"")</f>
        <v/>
      </c>
      <c r="S11" s="14" t="n">
        <v>0.5</v>
      </c>
      <c r="T11" s="13">
        <f>Q11/S11</f>
        <v/>
      </c>
      <c r="U11" s="15">
        <f>IF(T11&gt;0,I11/T11,"")</f>
        <v/>
      </c>
      <c r="V11" s="13">
        <f>IF(T11&gt;0,I11/T11*1000,"")</f>
        <v/>
      </c>
    </row>
    <row r="12">
      <c r="A12" s="11" t="inlineStr"/>
      <c r="B12" s="11" t="inlineStr"/>
      <c r="C12" s="11" t="inlineStr">
        <is>
          <t>ミドルKOL（上位）</t>
        </is>
      </c>
      <c r="D12" s="11" t="inlineStr">
        <is>
          <t>各シーン担当×4名</t>
        </is>
      </c>
      <c r="E12" s="11" t="inlineStr">
        <is>
          <t>TT</t>
        </is>
      </c>
      <c r="F12" s="11" t="inlineStr">
        <is>
          <t>有り</t>
        </is>
      </c>
      <c r="G12" s="11" t="inlineStr">
        <is>
          <t>Middle</t>
        </is>
      </c>
      <c r="H12" s="12">
        <f>I12/$I$29</f>
        <v/>
      </c>
      <c r="I12" s="13" t="n">
        <v>6000000</v>
      </c>
      <c r="J12" s="11" t="inlineStr">
        <is>
          <t>再生数</t>
        </is>
      </c>
      <c r="K12" s="11" t="n">
        <v>4</v>
      </c>
      <c r="L12" s="13">
        <f>I12/K12</f>
        <v/>
      </c>
      <c r="M12" s="11" t="n">
        <v>4</v>
      </c>
      <c r="N12" s="13" t="n">
        <v>300000</v>
      </c>
      <c r="O12" s="14" t="n">
        <v>0.3</v>
      </c>
      <c r="P12" s="11" t="n">
        <v>3</v>
      </c>
      <c r="Q12" s="13">
        <f>M12*N12*O12*P12</f>
        <v/>
      </c>
      <c r="R12" s="15">
        <f>IF(Q12&gt;0,I12/Q12,"")</f>
        <v/>
      </c>
      <c r="S12" s="14" t="n">
        <v>0.5</v>
      </c>
      <c r="T12" s="13">
        <f>Q12/S12</f>
        <v/>
      </c>
      <c r="U12" s="15">
        <f>IF(T12&gt;0,I12/T12,"")</f>
        <v/>
      </c>
      <c r="V12" s="13">
        <f>IF(T12&gt;0,I12/T12*1000,"")</f>
        <v/>
      </c>
    </row>
    <row r="13">
      <c r="A13" s="11" t="inlineStr"/>
      <c r="B13" s="11" t="inlineStr">
        <is>
          <t>新規顧客獲得
トライブハック②</t>
        </is>
      </c>
      <c r="C13" s="11" t="inlineStr">
        <is>
          <t>ミドルKOL（上位）</t>
        </is>
      </c>
      <c r="D13" s="11" t="inlineStr">
        <is>
          <t>推し熱愛/生理前爆食/二日酔い
一人時間/彼氏旦那イライラ/クラス替え</t>
        </is>
      </c>
      <c r="E13" s="11" t="inlineStr">
        <is>
          <t>TT</t>
        </is>
      </c>
      <c r="F13" s="11" t="inlineStr">
        <is>
          <t>有り</t>
        </is>
      </c>
      <c r="G13" s="11" t="inlineStr">
        <is>
          <t>Middle</t>
        </is>
      </c>
      <c r="H13" s="12">
        <f>I13/$I$29</f>
        <v/>
      </c>
      <c r="I13" s="13" t="n">
        <v>6000000</v>
      </c>
      <c r="J13" s="11" t="inlineStr">
        <is>
          <t>再生数</t>
        </is>
      </c>
      <c r="K13" s="11" t="n">
        <v>4</v>
      </c>
      <c r="L13" s="13">
        <f>I13/K13</f>
        <v/>
      </c>
      <c r="M13" s="11" t="n">
        <v>5</v>
      </c>
      <c r="N13" s="13" t="n">
        <v>300000</v>
      </c>
      <c r="O13" s="14" t="n">
        <v>0.3</v>
      </c>
      <c r="P13" s="11" t="n">
        <v>3</v>
      </c>
      <c r="Q13" s="13">
        <f>M13*N13*O13*P13</f>
        <v/>
      </c>
      <c r="R13" s="15">
        <f>IF(Q13&gt;0,I13/Q13,"")</f>
        <v/>
      </c>
      <c r="S13" s="14" t="n">
        <v>0.5</v>
      </c>
      <c r="T13" s="13">
        <f>Q13/S13</f>
        <v/>
      </c>
      <c r="U13" s="15">
        <f>IF(T13&gt;0,I13/T13,"")</f>
        <v/>
      </c>
      <c r="V13" s="13">
        <f>IF(T13&gt;0,I13/T13*1000,"")</f>
        <v/>
      </c>
    </row>
    <row r="14">
      <c r="A14" s="11" t="inlineStr"/>
      <c r="B14" s="11" t="inlineStr"/>
      <c r="C14" s="11" t="inlineStr">
        <is>
          <t>商品費</t>
        </is>
      </c>
      <c r="D14" s="11" t="inlineStr">
        <is>
          <t>トライブハック用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2">
        <f>I14/$I$29</f>
        <v/>
      </c>
      <c r="I14" s="13" t="n">
        <v>500000</v>
      </c>
      <c r="J14" s="11" t="inlineStr">
        <is>
          <t>-</t>
        </is>
      </c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</row>
    <row r="15">
      <c r="A15" s="11" t="inlineStr"/>
      <c r="B15" s="11" t="inlineStr">
        <is>
          <t>グルメ系</t>
        </is>
      </c>
      <c r="C15" s="11" t="inlineStr">
        <is>
          <t>グルメ系ミドルKOL</t>
        </is>
      </c>
      <c r="D15" s="11" t="inlineStr">
        <is>
          <t>TikTok/Instagram</t>
        </is>
      </c>
      <c r="E15" s="11" t="inlineStr">
        <is>
          <t>TT/IG</t>
        </is>
      </c>
      <c r="F15" s="11" t="inlineStr">
        <is>
          <t>有り</t>
        </is>
      </c>
      <c r="G15" s="11" t="inlineStr">
        <is>
          <t>Middle</t>
        </is>
      </c>
      <c r="H15" s="12">
        <f>I15/$I$29</f>
        <v/>
      </c>
      <c r="I15" s="13" t="n">
        <v>2000000</v>
      </c>
      <c r="J15" s="11" t="inlineStr">
        <is>
          <t>リーチ数</t>
        </is>
      </c>
      <c r="K15" s="11" t="n">
        <v>4</v>
      </c>
      <c r="L15" s="13">
        <f>I15/K15</f>
        <v/>
      </c>
      <c r="M15" s="11" t="n">
        <v>3</v>
      </c>
      <c r="N15" s="13" t="n">
        <v>200000</v>
      </c>
      <c r="O15" s="14" t="n">
        <v>0.25</v>
      </c>
      <c r="P15" s="11" t="n">
        <v>3</v>
      </c>
      <c r="Q15" s="13">
        <f>M15*N15*O15*P15</f>
        <v/>
      </c>
      <c r="R15" s="15">
        <f>IF(Q15&gt;0,I15/Q15,"")</f>
        <v/>
      </c>
      <c r="S15" s="14" t="n">
        <v>0.5</v>
      </c>
      <c r="T15" s="13">
        <f>Q15/S15</f>
        <v/>
      </c>
      <c r="U15" s="15">
        <f>IF(T15&gt;0,I15/T15,"")</f>
        <v/>
      </c>
      <c r="V15" s="13">
        <f>IF(T15&gt;0,I15/T15*1000,"")</f>
        <v/>
      </c>
    </row>
    <row r="16">
      <c r="A16" s="7" t="inlineStr"/>
      <c r="B16" s="7" t="inlineStr">
        <is>
          <t>広告配信</t>
        </is>
      </c>
      <c r="C16" s="7" t="inlineStr">
        <is>
          <t>広告配信</t>
        </is>
      </c>
      <c r="D16" s="7" t="inlineStr">
        <is>
          <t>KOL投稿ブースト Spark Ads</t>
        </is>
      </c>
      <c r="E16" s="7" t="inlineStr">
        <is>
          <t>TT</t>
        </is>
      </c>
      <c r="F16" s="7" t="inlineStr"/>
      <c r="G16" s="7" t="inlineStr">
        <is>
          <t>-</t>
        </is>
      </c>
      <c r="H16" s="8">
        <f>I16/$I$29</f>
        <v/>
      </c>
      <c r="I16" s="9" t="n">
        <v>5000000</v>
      </c>
      <c r="J16" s="7" t="inlineStr">
        <is>
          <t>imp数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9" t="n">
        <v>25000000</v>
      </c>
      <c r="U16" s="10">
        <f>I16/T16</f>
        <v/>
      </c>
      <c r="V16" s="9">
        <f>I16/T16*1000</f>
        <v/>
      </c>
    </row>
    <row r="17">
      <c r="A17" s="7" t="inlineStr"/>
      <c r="B17" s="7" t="inlineStr"/>
      <c r="C17" s="7" t="inlineStr">
        <is>
          <t>広告配信</t>
        </is>
      </c>
      <c r="D17" s="7" t="inlineStr">
        <is>
          <t>トレンド入り狙い・話題拡散</t>
        </is>
      </c>
      <c r="E17" s="7" t="inlineStr">
        <is>
          <t>X</t>
        </is>
      </c>
      <c r="F17" s="7" t="inlineStr"/>
      <c r="G17" s="7" t="inlineStr">
        <is>
          <t>-</t>
        </is>
      </c>
      <c r="H17" s="8">
        <f>I17/$I$29</f>
        <v/>
      </c>
      <c r="I17" s="9" t="n">
        <v>2000000</v>
      </c>
      <c r="J17" s="7" t="inlineStr">
        <is>
          <t>imp数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9" t="n">
        <v>10000000</v>
      </c>
      <c r="U17" s="10">
        <f>I17/T17</f>
        <v/>
      </c>
      <c r="V17" s="9">
        <f>I17/T17*1000</f>
        <v/>
      </c>
    </row>
    <row r="18">
      <c r="A18" s="16" t="inlineStr">
        <is>
          <t>Phase3</t>
        </is>
      </c>
      <c r="B18" s="16" t="inlineStr">
        <is>
          <t>SNSトレンド好き
（UGC醸成）</t>
        </is>
      </c>
      <c r="C18" s="16" t="inlineStr">
        <is>
          <t>ミドルKOL アレンジ</t>
        </is>
      </c>
      <c r="D18" s="16" t="inlineStr">
        <is>
          <t>チーズ/卵/〆ご飯等</t>
        </is>
      </c>
      <c r="E18" s="16" t="inlineStr">
        <is>
          <t>TT</t>
        </is>
      </c>
      <c r="F18" s="16" t="inlineStr">
        <is>
          <t>有り</t>
        </is>
      </c>
      <c r="G18" s="16" t="inlineStr">
        <is>
          <t>Middle</t>
        </is>
      </c>
      <c r="H18" s="17">
        <f>I18/$I$29</f>
        <v/>
      </c>
      <c r="I18" s="18" t="n">
        <v>1100000</v>
      </c>
      <c r="J18" s="16" t="inlineStr">
        <is>
          <t>再生数</t>
        </is>
      </c>
      <c r="K18" s="16" t="n">
        <v>4</v>
      </c>
      <c r="L18" s="18">
        <f>I18/K18</f>
        <v/>
      </c>
      <c r="M18" s="16" t="n">
        <v>2</v>
      </c>
      <c r="N18" s="18" t="n">
        <v>180000</v>
      </c>
      <c r="O18" s="19" t="n">
        <v>0.25</v>
      </c>
      <c r="P18" s="16" t="n">
        <v>3</v>
      </c>
      <c r="Q18" s="18">
        <f>M18*N18*O18*P18</f>
        <v/>
      </c>
      <c r="R18" s="20">
        <f>IF(Q18&gt;0,I18/Q18,"")</f>
        <v/>
      </c>
      <c r="S18" s="19" t="n">
        <v>0.5</v>
      </c>
      <c r="T18" s="18">
        <f>Q18/S18</f>
        <v/>
      </c>
      <c r="U18" s="20">
        <f>IF(T18&gt;0,I18/T18,"")</f>
        <v/>
      </c>
      <c r="V18" s="18">
        <f>IF(T18&gt;0,I18/T18*1000,"")</f>
        <v/>
      </c>
    </row>
    <row r="19">
      <c r="A19" s="16" t="inlineStr"/>
      <c r="B19" s="16" t="inlineStr"/>
      <c r="C19" s="16" t="inlineStr">
        <is>
          <t>マイクロKOL アレンジ</t>
        </is>
      </c>
      <c r="D19" s="16" t="inlineStr">
        <is>
          <t>バリエーション展開</t>
        </is>
      </c>
      <c r="E19" s="16" t="inlineStr">
        <is>
          <t>TT</t>
        </is>
      </c>
      <c r="F19" s="16" t="inlineStr">
        <is>
          <t>有り</t>
        </is>
      </c>
      <c r="G19" s="16" t="inlineStr">
        <is>
          <t>Nano</t>
        </is>
      </c>
      <c r="H19" s="17">
        <f>I19/$I$29</f>
        <v/>
      </c>
      <c r="I19" s="18" t="n">
        <v>200000</v>
      </c>
      <c r="J19" s="16" t="inlineStr">
        <is>
          <t>再生数</t>
        </is>
      </c>
      <c r="K19" s="16" t="n">
        <v>5</v>
      </c>
      <c r="L19" s="18">
        <f>I19/K19</f>
        <v/>
      </c>
      <c r="M19" s="16" t="n">
        <v>2</v>
      </c>
      <c r="N19" s="18" t="n">
        <v>40000</v>
      </c>
      <c r="O19" s="19" t="n">
        <v>0.35</v>
      </c>
      <c r="P19" s="16" t="n">
        <v>3</v>
      </c>
      <c r="Q19" s="18">
        <f>M19*N19*O19*P19</f>
        <v/>
      </c>
      <c r="R19" s="20">
        <f>IF(Q19&gt;0,I19/Q19,"")</f>
        <v/>
      </c>
      <c r="S19" s="19" t="n">
        <v>0.5</v>
      </c>
      <c r="T19" s="18">
        <f>Q19/S19</f>
        <v/>
      </c>
      <c r="U19" s="20">
        <f>IF(T19&gt;0,I19/T19,"")</f>
        <v/>
      </c>
      <c r="V19" s="18">
        <f>IF(T19&gt;0,I19/T19*1000,"")</f>
        <v/>
      </c>
    </row>
    <row r="20">
      <c r="A20" s="16" t="inlineStr"/>
      <c r="B20" s="16" t="inlineStr"/>
      <c r="C20" s="16" t="inlineStr">
        <is>
          <t>ミドルKOL アレンジ</t>
        </is>
      </c>
      <c r="D20" s="16" t="inlineStr">
        <is>
          <t>アレンジ投稿</t>
        </is>
      </c>
      <c r="E20" s="16" t="inlineStr">
        <is>
          <t>X</t>
        </is>
      </c>
      <c r="F20" s="16" t="inlineStr">
        <is>
          <t>無し</t>
        </is>
      </c>
      <c r="G20" s="16" t="inlineStr">
        <is>
          <t>Middle</t>
        </is>
      </c>
      <c r="H20" s="17">
        <f>I20/$I$29</f>
        <v/>
      </c>
      <c r="I20" s="18" t="n">
        <v>200000</v>
      </c>
      <c r="J20" s="16" t="inlineStr">
        <is>
          <t>imp数</t>
        </is>
      </c>
      <c r="K20" s="16" t="n">
        <v>2</v>
      </c>
      <c r="L20" s="18">
        <f>I20/K20</f>
        <v/>
      </c>
      <c r="M20" s="16" t="n">
        <v>1</v>
      </c>
      <c r="N20" s="18" t="n">
        <v>150000</v>
      </c>
      <c r="O20" s="19" t="n">
        <v>0.2</v>
      </c>
      <c r="P20" s="16" t="n">
        <v>3</v>
      </c>
      <c r="Q20" s="18">
        <f>M20*N20*O20*P20</f>
        <v/>
      </c>
      <c r="R20" s="20">
        <f>IF(Q20&gt;0,I20/Q20,"")</f>
        <v/>
      </c>
      <c r="S20" s="19" t="n">
        <v>0.5</v>
      </c>
      <c r="T20" s="18">
        <f>Q20/S20</f>
        <v/>
      </c>
      <c r="U20" s="20">
        <f>IF(T20&gt;0,I20/T20,"")</f>
        <v/>
      </c>
      <c r="V20" s="18">
        <f>IF(T20&gt;0,I20/T20*1000,"")</f>
        <v/>
      </c>
    </row>
    <row r="21">
      <c r="A21" s="16" t="inlineStr"/>
      <c r="B21" s="16" t="inlineStr">
        <is>
          <t>SNS話題HOOK</t>
        </is>
      </c>
      <c r="C21" s="16" t="inlineStr">
        <is>
          <t>ミドルKOL</t>
        </is>
      </c>
      <c r="D21" s="16" t="inlineStr">
        <is>
          <t>○○見ながら訴求</t>
        </is>
      </c>
      <c r="E21" s="16" t="inlineStr">
        <is>
          <t>TT</t>
        </is>
      </c>
      <c r="F21" s="16" t="inlineStr">
        <is>
          <t>有り</t>
        </is>
      </c>
      <c r="G21" s="16" t="inlineStr">
        <is>
          <t>Middle</t>
        </is>
      </c>
      <c r="H21" s="17">
        <f>I21/$I$29</f>
        <v/>
      </c>
      <c r="I21" s="18" t="n">
        <v>700000</v>
      </c>
      <c r="J21" s="16" t="inlineStr">
        <is>
          <t>再生数</t>
        </is>
      </c>
      <c r="K21" s="16" t="n">
        <v>4</v>
      </c>
      <c r="L21" s="18">
        <f>I21/K21</f>
        <v/>
      </c>
      <c r="M21" s="16" t="n">
        <v>1</v>
      </c>
      <c r="N21" s="18" t="n">
        <v>180000</v>
      </c>
      <c r="O21" s="19" t="n">
        <v>0.25</v>
      </c>
      <c r="P21" s="16" t="n">
        <v>3</v>
      </c>
      <c r="Q21" s="18">
        <f>M21*N21*O21*P21</f>
        <v/>
      </c>
      <c r="R21" s="20">
        <f>IF(Q21&gt;0,I21/Q21,"")</f>
        <v/>
      </c>
      <c r="S21" s="19" t="n">
        <v>0.5</v>
      </c>
      <c r="T21" s="18">
        <f>Q21/S21</f>
        <v/>
      </c>
      <c r="U21" s="20">
        <f>IF(T21&gt;0,I21/T21,"")</f>
        <v/>
      </c>
      <c r="V21" s="18">
        <f>IF(T21&gt;0,I21/T21*1000,"")</f>
        <v/>
      </c>
    </row>
    <row r="22">
      <c r="A22" s="16" t="inlineStr"/>
      <c r="B22" s="16" t="inlineStr"/>
      <c r="C22" s="16" t="inlineStr">
        <is>
          <t>マイクロKOL</t>
        </is>
      </c>
      <c r="D22" s="16" t="inlineStr">
        <is>
          <t>サブ投稿</t>
        </is>
      </c>
      <c r="E22" s="16" t="inlineStr">
        <is>
          <t>TT</t>
        </is>
      </c>
      <c r="F22" s="16" t="inlineStr">
        <is>
          <t>有り</t>
        </is>
      </c>
      <c r="G22" s="16" t="inlineStr">
        <is>
          <t>Nano</t>
        </is>
      </c>
      <c r="H22" s="17">
        <f>I22/$I$29</f>
        <v/>
      </c>
      <c r="I22" s="18" t="n">
        <v>300000</v>
      </c>
      <c r="J22" s="16" t="inlineStr">
        <is>
          <t>再生数</t>
        </is>
      </c>
      <c r="K22" s="16" t="n">
        <v>5</v>
      </c>
      <c r="L22" s="18">
        <f>I22/K22</f>
        <v/>
      </c>
      <c r="M22" s="16" t="n">
        <v>2</v>
      </c>
      <c r="N22" s="18" t="n">
        <v>40000</v>
      </c>
      <c r="O22" s="19" t="n">
        <v>0.35</v>
      </c>
      <c r="P22" s="16" t="n">
        <v>3</v>
      </c>
      <c r="Q22" s="18">
        <f>M22*N22*O22*P22</f>
        <v/>
      </c>
      <c r="R22" s="20">
        <f>IF(Q22&gt;0,I22/Q22,"")</f>
        <v/>
      </c>
      <c r="S22" s="19" t="n">
        <v>0.5</v>
      </c>
      <c r="T22" s="18">
        <f>Q22/S22</f>
        <v/>
      </c>
      <c r="U22" s="20">
        <f>IF(T22&gt;0,I22/T22,"")</f>
        <v/>
      </c>
      <c r="V22" s="18">
        <f>IF(T22&gt;0,I22/T22*1000,"")</f>
        <v/>
      </c>
    </row>
    <row r="23">
      <c r="A23" s="16" t="inlineStr"/>
      <c r="B23" s="16" t="inlineStr">
        <is>
          <t>ミーム系チャレンジ</t>
        </is>
      </c>
      <c r="C23" s="16" t="inlineStr">
        <is>
          <t>ペイドKOL</t>
        </is>
      </c>
      <c r="D23" s="16" t="inlineStr">
        <is>
          <t>チャレンジ火付け役</t>
        </is>
      </c>
      <c r="E23" s="16" t="inlineStr">
        <is>
          <t>TT</t>
        </is>
      </c>
      <c r="F23" s="16" t="inlineStr">
        <is>
          <t>有り</t>
        </is>
      </c>
      <c r="G23" s="16" t="inlineStr">
        <is>
          <t>Middle</t>
        </is>
      </c>
      <c r="H23" s="17">
        <f>I23/$I$29</f>
        <v/>
      </c>
      <c r="I23" s="18" t="n">
        <v>2000000</v>
      </c>
      <c r="J23" s="16" t="inlineStr">
        <is>
          <t>参加数</t>
        </is>
      </c>
      <c r="K23" s="16" t="n">
        <v>4</v>
      </c>
      <c r="L23" s="18">
        <f>I23/K23</f>
        <v/>
      </c>
      <c r="M23" s="16" t="n">
        <v>4</v>
      </c>
      <c r="N23" s="18" t="n">
        <v>150000</v>
      </c>
      <c r="O23" s="19" t="n">
        <v>0.3</v>
      </c>
      <c r="P23" s="16" t="n">
        <v>3</v>
      </c>
      <c r="Q23" s="18">
        <f>M23*N23*O23*P23</f>
        <v/>
      </c>
      <c r="R23" s="20">
        <f>IF(Q23&gt;0,I23/Q23,"")</f>
        <v/>
      </c>
      <c r="S23" s="19" t="n">
        <v>0.5</v>
      </c>
      <c r="T23" s="18">
        <f>Q23/S23</f>
        <v/>
      </c>
      <c r="U23" s="20">
        <f>IF(T23&gt;0,I23/T23,"")</f>
        <v/>
      </c>
      <c r="V23" s="18">
        <f>IF(T23&gt;0,I23/T23*1000,"")</f>
        <v/>
      </c>
    </row>
    <row r="24">
      <c r="A24" s="16" t="inlineStr"/>
      <c r="B24" s="16" t="inlineStr"/>
      <c r="C24" s="16" t="inlineStr">
        <is>
          <t>チャレンジ運用費</t>
        </is>
      </c>
      <c r="D24" s="16" t="inlineStr">
        <is>
          <t>ハッシュタグ管理等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7">
        <f>I24/$I$29</f>
        <v/>
      </c>
      <c r="I24" s="18" t="n">
        <v>700000</v>
      </c>
      <c r="J24" s="16" t="inlineStr">
        <is>
          <t>-</t>
        </is>
      </c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inlineStr"/>
    </row>
    <row r="25">
      <c r="A25" s="7" t="inlineStr"/>
      <c r="B25" s="7" t="inlineStr">
        <is>
          <t>広告配信</t>
        </is>
      </c>
      <c r="C25" s="7" t="inlineStr">
        <is>
          <t>広告配信</t>
        </is>
      </c>
      <c r="D25" s="7" t="inlineStr">
        <is>
          <t>アレンジ・ミーム拡散</t>
        </is>
      </c>
      <c r="E25" s="7" t="inlineStr">
        <is>
          <t>TT</t>
        </is>
      </c>
      <c r="F25" s="7" t="inlineStr"/>
      <c r="G25" s="7" t="inlineStr">
        <is>
          <t>-</t>
        </is>
      </c>
      <c r="H25" s="8">
        <f>I25/$I$29</f>
        <v/>
      </c>
      <c r="I25" s="9" t="n">
        <v>2500000</v>
      </c>
      <c r="J25" s="7" t="inlineStr">
        <is>
          <t>imp数</t>
        </is>
      </c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9" t="n">
        <v>12500000</v>
      </c>
      <c r="U25" s="10">
        <f>I25/T25</f>
        <v/>
      </c>
      <c r="V25" s="9">
        <f>I25/T25*1000</f>
        <v/>
      </c>
    </row>
    <row r="26">
      <c r="A26" s="7" t="inlineStr"/>
      <c r="B26" s="7" t="inlineStr"/>
      <c r="C26" s="7" t="inlineStr">
        <is>
          <t>広告配信</t>
        </is>
      </c>
      <c r="D26" s="7" t="inlineStr">
        <is>
          <t>Reelsリターゲティング</t>
        </is>
      </c>
      <c r="E26" s="7" t="inlineStr">
        <is>
          <t>IG</t>
        </is>
      </c>
      <c r="F26" s="7" t="inlineStr"/>
      <c r="G26" s="7" t="inlineStr">
        <is>
          <t>-</t>
        </is>
      </c>
      <c r="H26" s="8">
        <f>I26/$I$29</f>
        <v/>
      </c>
      <c r="I26" s="9" t="n">
        <v>1500000</v>
      </c>
      <c r="J26" s="7" t="inlineStr">
        <is>
          <t>imp数</t>
        </is>
      </c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9" t="n">
        <v>6000000</v>
      </c>
      <c r="U26" s="10">
        <f>I26/T26</f>
        <v/>
      </c>
      <c r="V26" s="9">
        <f>I26/T26*1000</f>
        <v/>
      </c>
    </row>
    <row r="27">
      <c r="A27" s="16" t="inlineStr">
        <is>
          <t>予備費</t>
        </is>
      </c>
      <c r="B27" s="16" t="inlineStr"/>
      <c r="C27" s="16" t="inlineStr">
        <is>
          <t>追加ブースト対応</t>
        </is>
      </c>
      <c r="D27" s="16" t="inlineStr"/>
      <c r="E27" s="16" t="inlineStr">
        <is>
          <t>-</t>
        </is>
      </c>
      <c r="F27" s="16" t="inlineStr">
        <is>
          <t>-</t>
        </is>
      </c>
      <c r="G27" s="16" t="inlineStr">
        <is>
          <t>-</t>
        </is>
      </c>
      <c r="H27" s="17">
        <f>I27/$I$29</f>
        <v/>
      </c>
      <c r="I27" s="18" t="n">
        <v>300000</v>
      </c>
      <c r="J27" s="16" t="inlineStr">
        <is>
          <t>-</t>
        </is>
      </c>
      <c r="K27" s="16" t="inlineStr"/>
      <c r="L27" s="16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s="16" t="inlineStr"/>
      <c r="U27" s="16" t="inlineStr"/>
      <c r="V27" s="16" t="inlineStr"/>
    </row>
    <row r="28">
      <c r="A28" s="21" t="inlineStr"/>
      <c r="B28" s="21" t="inlineStr"/>
      <c r="C28" s="21" t="inlineStr">
        <is>
          <t>緊急対応・リスク管理</t>
        </is>
      </c>
      <c r="D28" s="21" t="inlineStr"/>
      <c r="E28" s="21" t="inlineStr">
        <is>
          <t>-</t>
        </is>
      </c>
      <c r="F28" s="21" t="inlineStr">
        <is>
          <t>-</t>
        </is>
      </c>
      <c r="G28" s="21" t="inlineStr">
        <is>
          <t>-</t>
        </is>
      </c>
      <c r="H28" s="22">
        <f>I28/$I$29</f>
        <v/>
      </c>
      <c r="I28" s="23" t="n">
        <v>200000</v>
      </c>
      <c r="J28" s="21" t="inlineStr">
        <is>
          <t>-</t>
        </is>
      </c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  <c r="S28" s="21" t="inlineStr"/>
      <c r="T28" s="21" t="inlineStr"/>
      <c r="U28" s="21" t="inlineStr"/>
      <c r="V28" s="21" t="inlineStr"/>
    </row>
    <row r="29">
      <c r="A29" s="24" t="n"/>
      <c r="B29" s="24" t="n"/>
      <c r="C29" s="24" t="n"/>
      <c r="D29" s="24" t="n"/>
      <c r="E29" s="24" t="n"/>
      <c r="F29" s="24" t="n"/>
      <c r="G29" s="25" t="inlineStr">
        <is>
          <t>合計</t>
        </is>
      </c>
      <c r="H29" s="26">
        <f>SUM(H3:H28)</f>
        <v/>
      </c>
      <c r="I29" s="27">
        <f>SUM(I3:I28)</f>
        <v/>
      </c>
      <c r="J29" s="24" t="n"/>
      <c r="K29" s="24" t="n"/>
      <c r="L29" s="24" t="n"/>
      <c r="M29" s="25">
        <f>SUM(M3:M28)</f>
        <v/>
      </c>
      <c r="N29" s="24" t="n"/>
      <c r="O29" s="24" t="n"/>
      <c r="P29" s="24" t="n"/>
      <c r="Q29" s="27">
        <f>SUM(Q3:Q28)</f>
        <v/>
      </c>
      <c r="R29" s="24" t="n"/>
      <c r="S29" s="24" t="n"/>
      <c r="T29" s="27">
        <f>SUM(T3:T28)</f>
        <v/>
      </c>
      <c r="U29" s="24" t="n"/>
      <c r="V29" s="24" t="n"/>
    </row>
    <row r="32">
      <c r="B32" s="28" t="inlineStr">
        <is>
          <t>月</t>
        </is>
      </c>
      <c r="C32" s="28" t="inlineStr">
        <is>
          <t>フェーズ</t>
        </is>
      </c>
      <c r="D32" s="28" t="inlineStr">
        <is>
          <t>費用</t>
        </is>
      </c>
    </row>
    <row r="33">
      <c r="B33" s="29" t="inlineStr">
        <is>
          <t>発売前</t>
        </is>
      </c>
      <c r="C33" s="29" t="inlineStr">
        <is>
          <t>Phase1: 話題化</t>
        </is>
      </c>
      <c r="D33" s="30">
        <f>SUM(I3:I7)</f>
        <v/>
      </c>
    </row>
    <row r="34">
      <c r="B34" s="29" t="inlineStr">
        <is>
          <t>発売期</t>
        </is>
      </c>
      <c r="C34" s="29" t="inlineStr">
        <is>
          <t>Phase2: 盛り上げ</t>
        </is>
      </c>
      <c r="D34" s="30">
        <f>SUM(I8:I17)</f>
        <v/>
      </c>
    </row>
    <row r="35">
      <c r="B35" s="29" t="inlineStr">
        <is>
          <t>発売後</t>
        </is>
      </c>
      <c r="C35" s="29" t="inlineStr">
        <is>
          <t>Phase3: UGC醸成</t>
        </is>
      </c>
      <c r="D35" s="30">
        <f>SUM(I18:I26)</f>
        <v/>
      </c>
    </row>
    <row r="36">
      <c r="B36" s="29" t="inlineStr"/>
      <c r="C36" s="29" t="inlineStr">
        <is>
          <t>予備費</t>
        </is>
      </c>
      <c r="D36" s="30">
        <f>SUM(I27:I28)</f>
        <v/>
      </c>
    </row>
    <row r="37">
      <c r="B37" s="29" t="inlineStr">
        <is>
          <t>合計</t>
        </is>
      </c>
      <c r="C37" s="29" t="inlineStr"/>
      <c r="D37" s="31">
        <f>I29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2026-02-02T02:04:33Z</dcterms:created>
  <dcterms:modified xsi:type="dcterms:W3CDTF">2026-02-02T02:04:33Z</dcterms:modified>
</cp:coreProperties>
</file>