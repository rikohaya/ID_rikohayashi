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辛い麺 5000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FE4B5"/>
        <bgColor rgb="00FFE4B5"/>
      </patternFill>
    </fill>
    <fill>
      <patternFill patternType="solid">
        <fgColor rgb="00E6F3FF"/>
        <bgColor rgb="00E6F3FF"/>
      </patternFill>
    </fill>
    <fill>
      <patternFill patternType="solid">
        <fgColor rgb="00F5F5F5"/>
        <bgColor rgb="00F5F5F5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9" fontId="0" fillId="0" borderId="1" pivotButton="0" quotePrefix="0" xfId="0"/>
    <xf numFmtId="3" fontId="2" fillId="0" borderId="1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8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  <col width="10" customWidth="1" min="11" max="11"/>
    <col width="12" customWidth="1" min="12" max="12"/>
  </cols>
  <sheetData>
    <row r="2">
      <c r="A2" s="1" t="inlineStr">
        <is>
          <t>フェーズ</t>
        </is>
      </c>
      <c r="B2" s="1" t="inlineStr">
        <is>
          <t>目的</t>
        </is>
      </c>
      <c r="C2" s="1" t="inlineStr">
        <is>
          <t>項目</t>
        </is>
      </c>
      <c r="D2" s="1" t="inlineStr">
        <is>
          <t>小項目</t>
        </is>
      </c>
      <c r="E2" s="1" t="inlineStr">
        <is>
          <t>Media</t>
        </is>
      </c>
      <c r="F2" s="1" t="inlineStr">
        <is>
          <t>配信有無</t>
        </is>
      </c>
      <c r="G2" s="1" t="inlineStr">
        <is>
          <t>フォロワー規模</t>
        </is>
      </c>
      <c r="H2" s="1" t="inlineStr">
        <is>
          <t>Allocation
Detail</t>
        </is>
      </c>
      <c r="I2" s="1" t="inlineStr">
        <is>
          <t>Budget(¥)</t>
        </is>
      </c>
      <c r="J2" s="1" t="inlineStr">
        <is>
          <t>KPI</t>
        </is>
      </c>
      <c r="K2" s="1" t="inlineStr">
        <is>
          <t>FW単価</t>
        </is>
      </c>
      <c r="L2" s="1" t="inlineStr">
        <is>
          <t>合計Fw数</t>
        </is>
      </c>
    </row>
    <row r="3">
      <c r="A3" s="2" t="inlineStr">
        <is>
          <t>Phase1</t>
        </is>
      </c>
      <c r="B3" s="2" t="inlineStr">
        <is>
          <t>辛いもの
イノベーター</t>
        </is>
      </c>
      <c r="C3" s="2" t="inlineStr">
        <is>
          <t>メガKOLギフティング</t>
        </is>
      </c>
      <c r="D3" s="2" t="inlineStr">
        <is>
          <t>YouTube/IG/X複合 世界観訴求</t>
        </is>
      </c>
      <c r="E3" s="2" t="inlineStr">
        <is>
          <t>YT/IG/X</t>
        </is>
      </c>
      <c r="F3" s="2" t="inlineStr">
        <is>
          <t>無し</t>
        </is>
      </c>
      <c r="G3" s="2" t="inlineStr">
        <is>
          <t>Mega</t>
        </is>
      </c>
      <c r="H3" s="3">
        <f>I3/$I31</f>
        <v/>
      </c>
      <c r="I3" s="4" t="n">
        <v>2500000</v>
      </c>
      <c r="J3" s="2" t="inlineStr">
        <is>
          <t>総リーチ数</t>
        </is>
      </c>
      <c r="K3" s="2" t="n">
        <v>5</v>
      </c>
      <c r="L3" s="4">
        <f>I3/K3</f>
        <v/>
      </c>
    </row>
    <row r="4">
      <c r="A4" s="2" t="inlineStr"/>
      <c r="B4" s="2" t="inlineStr"/>
      <c r="C4" s="2" t="inlineStr">
        <is>
          <t>ミドルKOLギフティング</t>
        </is>
      </c>
      <c r="D4" s="2" t="inlineStr">
        <is>
          <t>辛いものイノベーター層</t>
        </is>
      </c>
      <c r="E4" s="2" t="inlineStr">
        <is>
          <t>TT/IG</t>
        </is>
      </c>
      <c r="F4" s="2" t="inlineStr">
        <is>
          <t>無し</t>
        </is>
      </c>
      <c r="G4" s="2" t="inlineStr">
        <is>
          <t>Middle</t>
        </is>
      </c>
      <c r="H4" s="3">
        <f>I4/$I31</f>
        <v/>
      </c>
      <c r="I4" s="4" t="n">
        <v>2000000</v>
      </c>
      <c r="J4" s="2" t="inlineStr">
        <is>
          <t>リーチ数</t>
        </is>
      </c>
      <c r="K4" s="2" t="n">
        <v>4</v>
      </c>
      <c r="L4" s="4">
        <f>I4/K4</f>
        <v/>
      </c>
    </row>
    <row r="5">
      <c r="A5" s="2" t="inlineStr"/>
      <c r="B5" s="2" t="inlineStr"/>
      <c r="C5" s="2" t="inlineStr">
        <is>
          <t>商品・SPECIAL BOX</t>
        </is>
      </c>
      <c r="D5" s="2" t="inlineStr">
        <is>
          <t>30名分制作・発送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3">
        <f>I5/$I31</f>
        <v/>
      </c>
      <c r="I5" s="4" t="n">
        <v>1000000</v>
      </c>
      <c r="J5" s="2" t="inlineStr">
        <is>
          <t>発送数</t>
        </is>
      </c>
      <c r="K5" s="2" t="inlineStr"/>
      <c r="L5" s="2" t="inlineStr"/>
    </row>
    <row r="6">
      <c r="A6" s="5" t="inlineStr"/>
      <c r="B6" s="5" t="inlineStr">
        <is>
          <t>広告配信</t>
        </is>
      </c>
      <c r="C6" s="5" t="inlineStr">
        <is>
          <t>広告配信</t>
        </is>
      </c>
      <c r="D6" s="5" t="inlineStr">
        <is>
          <t>ティザー・解禁情報拡散</t>
        </is>
      </c>
      <c r="E6" s="5" t="inlineStr">
        <is>
          <t>X</t>
        </is>
      </c>
      <c r="F6" s="5" t="inlineStr"/>
      <c r="G6" s="5" t="inlineStr">
        <is>
          <t>-</t>
        </is>
      </c>
      <c r="H6" s="6">
        <f>I6/$I31</f>
        <v/>
      </c>
      <c r="I6" s="7" t="n">
        <v>2000000</v>
      </c>
      <c r="J6" s="5" t="inlineStr">
        <is>
          <t>imp数</t>
        </is>
      </c>
      <c r="K6" s="5" t="inlineStr"/>
      <c r="L6" s="5" t="inlineStr"/>
    </row>
    <row r="7">
      <c r="A7" s="5" t="inlineStr"/>
      <c r="B7" s="5" t="inlineStr"/>
      <c r="C7" s="5" t="inlineStr">
        <is>
          <t>広告配信</t>
        </is>
      </c>
      <c r="D7" s="5" t="inlineStr">
        <is>
          <t>ギフティング投稿ブースト</t>
        </is>
      </c>
      <c r="E7" s="5" t="inlineStr">
        <is>
          <t>TT</t>
        </is>
      </c>
      <c r="F7" s="5" t="inlineStr"/>
      <c r="G7" s="5" t="inlineStr">
        <is>
          <t>-</t>
        </is>
      </c>
      <c r="H7" s="6">
        <f>I7/$I31</f>
        <v/>
      </c>
      <c r="I7" s="7" t="n">
        <v>1000000</v>
      </c>
      <c r="J7" s="5" t="inlineStr">
        <is>
          <t>imp数</t>
        </is>
      </c>
      <c r="K7" s="5" t="inlineStr"/>
      <c r="L7" s="5" t="inlineStr"/>
    </row>
    <row r="8">
      <c r="A8" s="8" t="inlineStr">
        <is>
          <t>Phase2</t>
        </is>
      </c>
      <c r="B8" s="8" t="inlineStr">
        <is>
          <t>辛いもの/韓国好き
（発売盛り上げ）</t>
        </is>
      </c>
      <c r="C8" s="8" t="inlineStr">
        <is>
          <t>メガKOL モッパン</t>
        </is>
      </c>
      <c r="D8" s="8" t="inlineStr">
        <is>
          <t>モッパン系コンテンツ</t>
        </is>
      </c>
      <c r="E8" s="8" t="inlineStr">
        <is>
          <t>TT</t>
        </is>
      </c>
      <c r="F8" s="8" t="inlineStr">
        <is>
          <t>有り</t>
        </is>
      </c>
      <c r="G8" s="8" t="inlineStr">
        <is>
          <t>Mega</t>
        </is>
      </c>
      <c r="H8" s="9">
        <f>I8/$I31</f>
        <v/>
      </c>
      <c r="I8" s="10" t="n">
        <v>3500000</v>
      </c>
      <c r="J8" s="8" t="inlineStr">
        <is>
          <t>再生数</t>
        </is>
      </c>
      <c r="K8" s="8" t="n">
        <v>4</v>
      </c>
      <c r="L8" s="10">
        <f>I8/K8</f>
        <v/>
      </c>
    </row>
    <row r="9">
      <c r="A9" s="8" t="inlineStr"/>
      <c r="B9" s="8" t="inlineStr"/>
      <c r="C9" s="8" t="inlineStr">
        <is>
          <t>ミドルKOL モッパン</t>
        </is>
      </c>
      <c r="D9" s="8" t="inlineStr">
        <is>
          <t>新発売HOOK+モッパン</t>
        </is>
      </c>
      <c r="E9" s="8" t="inlineStr">
        <is>
          <t>TT</t>
        </is>
      </c>
      <c r="F9" s="8" t="inlineStr">
        <is>
          <t>有り</t>
        </is>
      </c>
      <c r="G9" s="8" t="inlineStr">
        <is>
          <t>Middle</t>
        </is>
      </c>
      <c r="H9" s="9">
        <f>I9/$I31</f>
        <v/>
      </c>
      <c r="I9" s="10" t="n">
        <v>3200000</v>
      </c>
      <c r="J9" s="8" t="inlineStr">
        <is>
          <t>再生数</t>
        </is>
      </c>
      <c r="K9" s="8" t="n">
        <v>4</v>
      </c>
      <c r="L9" s="10">
        <f>I9/K9</f>
        <v/>
      </c>
    </row>
    <row r="10">
      <c r="A10" s="8" t="inlineStr"/>
      <c r="B10" s="8" t="inlineStr"/>
      <c r="C10" s="8" t="inlineStr">
        <is>
          <t>商品費</t>
        </is>
      </c>
      <c r="D10" s="8" t="inlineStr">
        <is>
          <t>モッパン系用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9">
        <f>I10/$I31</f>
        <v/>
      </c>
      <c r="I10" s="10" t="n">
        <v>800000</v>
      </c>
      <c r="J10" s="8" t="inlineStr">
        <is>
          <t>-</t>
        </is>
      </c>
      <c r="K10" s="8" t="inlineStr"/>
      <c r="L10" s="8" t="inlineStr"/>
    </row>
    <row r="11">
      <c r="A11" s="8" t="inlineStr"/>
      <c r="B11" s="8" t="inlineStr">
        <is>
          <t>辛い麺顧客獲得
トライブハック①</t>
        </is>
      </c>
      <c r="C11" s="8" t="inlineStr">
        <is>
          <t>メガKOL</t>
        </is>
      </c>
      <c r="D11" s="8" t="inlineStr">
        <is>
          <t>限界OL/主婦系
金曜夜・ワンオペ・チートデイ</t>
        </is>
      </c>
      <c r="E11" s="8" t="inlineStr">
        <is>
          <t>TT</t>
        </is>
      </c>
      <c r="F11" s="8" t="inlineStr">
        <is>
          <t>有り</t>
        </is>
      </c>
      <c r="G11" s="8" t="inlineStr">
        <is>
          <t>Mega</t>
        </is>
      </c>
      <c r="H11" s="9">
        <f>I11/$I31</f>
        <v/>
      </c>
      <c r="I11" s="10" t="n">
        <v>3000000</v>
      </c>
      <c r="J11" s="8" t="inlineStr">
        <is>
          <t>再生数</t>
        </is>
      </c>
      <c r="K11" s="8" t="n">
        <v>4</v>
      </c>
      <c r="L11" s="10">
        <f>I11/K11</f>
        <v/>
      </c>
    </row>
    <row r="12">
      <c r="A12" s="8" t="inlineStr"/>
      <c r="B12" s="8" t="inlineStr"/>
      <c r="C12" s="8" t="inlineStr">
        <is>
          <t>ミドルKOL</t>
        </is>
      </c>
      <c r="D12" s="8" t="inlineStr">
        <is>
          <t>各シーン担当</t>
        </is>
      </c>
      <c r="E12" s="8" t="inlineStr">
        <is>
          <t>TT</t>
        </is>
      </c>
      <c r="F12" s="8" t="inlineStr">
        <is>
          <t>有り</t>
        </is>
      </c>
      <c r="G12" s="8" t="inlineStr">
        <is>
          <t>Middle</t>
        </is>
      </c>
      <c r="H12" s="9">
        <f>I12/$I31</f>
        <v/>
      </c>
      <c r="I12" s="10" t="n">
        <v>2400000</v>
      </c>
      <c r="J12" s="8" t="inlineStr">
        <is>
          <t>再生数</t>
        </is>
      </c>
      <c r="K12" s="8" t="n">
        <v>4</v>
      </c>
      <c r="L12" s="10">
        <f>I12/K12</f>
        <v/>
      </c>
    </row>
    <row r="13">
      <c r="A13" s="8" t="inlineStr"/>
      <c r="B13" s="8" t="inlineStr"/>
      <c r="C13" s="8" t="inlineStr">
        <is>
          <t>マイクロKOL</t>
        </is>
      </c>
      <c r="D13" s="8" t="inlineStr">
        <is>
          <t>サブ投稿</t>
        </is>
      </c>
      <c r="E13" s="8" t="inlineStr">
        <is>
          <t>TT</t>
        </is>
      </c>
      <c r="F13" s="8" t="inlineStr">
        <is>
          <t>有り</t>
        </is>
      </c>
      <c r="G13" s="8" t="inlineStr">
        <is>
          <t>Nano</t>
        </is>
      </c>
      <c r="H13" s="9">
        <f>I13/$I31</f>
        <v/>
      </c>
      <c r="I13" s="10" t="n">
        <v>100000</v>
      </c>
      <c r="J13" s="8" t="inlineStr">
        <is>
          <t>再生数</t>
        </is>
      </c>
      <c r="K13" s="8" t="n">
        <v>5</v>
      </c>
      <c r="L13" s="10">
        <f>I13/K13</f>
        <v/>
      </c>
    </row>
    <row r="14">
      <c r="A14" s="8" t="inlineStr"/>
      <c r="B14" s="8" t="inlineStr">
        <is>
          <t>新規顧客獲得
トライブハック②</t>
        </is>
      </c>
      <c r="C14" s="8" t="inlineStr">
        <is>
          <t>ミドルKOL</t>
        </is>
      </c>
      <c r="D14" s="8" t="inlineStr">
        <is>
          <t>推し活疲れ/生理前/二日酔い/一人時間</t>
        </is>
      </c>
      <c r="E14" s="8" t="inlineStr">
        <is>
          <t>TT</t>
        </is>
      </c>
      <c r="F14" s="8" t="inlineStr">
        <is>
          <t>有り</t>
        </is>
      </c>
      <c r="G14" s="8" t="inlineStr">
        <is>
          <t>Middle</t>
        </is>
      </c>
      <c r="H14" s="9">
        <f>I14/$I31</f>
        <v/>
      </c>
      <c r="I14" s="10" t="n">
        <v>3600000</v>
      </c>
      <c r="J14" s="8" t="inlineStr">
        <is>
          <t>再生数</t>
        </is>
      </c>
      <c r="K14" s="8" t="n">
        <v>4</v>
      </c>
      <c r="L14" s="10">
        <f>I14/K14</f>
        <v/>
      </c>
    </row>
    <row r="15">
      <c r="A15" s="8" t="inlineStr"/>
      <c r="B15" s="8" t="inlineStr"/>
      <c r="C15" s="8" t="inlineStr">
        <is>
          <t>マイクロKOL</t>
        </is>
      </c>
      <c r="D15" s="8" t="inlineStr">
        <is>
          <t>サブ投稿</t>
        </is>
      </c>
      <c r="E15" s="8" t="inlineStr">
        <is>
          <t>TT</t>
        </is>
      </c>
      <c r="F15" s="8" t="inlineStr">
        <is>
          <t>有り</t>
        </is>
      </c>
      <c r="G15" s="8" t="inlineStr">
        <is>
          <t>Nano</t>
        </is>
      </c>
      <c r="H15" s="9">
        <f>I15/$I31</f>
        <v/>
      </c>
      <c r="I15" s="10" t="n">
        <v>600000</v>
      </c>
      <c r="J15" s="8" t="inlineStr">
        <is>
          <t>再生数</t>
        </is>
      </c>
      <c r="K15" s="8" t="n">
        <v>5</v>
      </c>
      <c r="L15" s="10">
        <f>I15/K15</f>
        <v/>
      </c>
    </row>
    <row r="16">
      <c r="A16" s="8" t="inlineStr"/>
      <c r="B16" s="8" t="inlineStr"/>
      <c r="C16" s="8" t="inlineStr">
        <is>
          <t>商品費</t>
        </is>
      </c>
      <c r="D16" s="8" t="inlineStr">
        <is>
          <t>トライブハック用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9">
        <f>I16/$I31</f>
        <v/>
      </c>
      <c r="I16" s="10" t="n">
        <v>800000</v>
      </c>
      <c r="J16" s="8" t="inlineStr">
        <is>
          <t>-</t>
        </is>
      </c>
      <c r="K16" s="8" t="inlineStr"/>
      <c r="L16" s="8" t="inlineStr"/>
    </row>
    <row r="17">
      <c r="A17" s="8" t="inlineStr"/>
      <c r="B17" s="8" t="inlineStr">
        <is>
          <t>グルメ系</t>
        </is>
      </c>
      <c r="C17" s="8" t="inlineStr">
        <is>
          <t>グルメ系ミドルKOL</t>
        </is>
      </c>
      <c r="D17" s="8" t="inlineStr">
        <is>
          <t>TikTok/Instagram</t>
        </is>
      </c>
      <c r="E17" s="8" t="inlineStr">
        <is>
          <t>TT/IG</t>
        </is>
      </c>
      <c r="F17" s="8" t="inlineStr">
        <is>
          <t>有り</t>
        </is>
      </c>
      <c r="G17" s="8" t="inlineStr">
        <is>
          <t>Middle</t>
        </is>
      </c>
      <c r="H17" s="9">
        <f>I17/$I31</f>
        <v/>
      </c>
      <c r="I17" s="10" t="n">
        <v>3500000</v>
      </c>
      <c r="J17" s="8" t="inlineStr">
        <is>
          <t>リーチ数</t>
        </is>
      </c>
      <c r="K17" s="8" t="n">
        <v>4</v>
      </c>
      <c r="L17" s="10">
        <f>I17/K17</f>
        <v/>
      </c>
    </row>
    <row r="18">
      <c r="A18" s="5" t="inlineStr"/>
      <c r="B18" s="5" t="inlineStr">
        <is>
          <t>広告配信</t>
        </is>
      </c>
      <c r="C18" s="5" t="inlineStr">
        <is>
          <t>広告配信</t>
        </is>
      </c>
      <c r="D18" s="5" t="inlineStr">
        <is>
          <t>KOL投稿ブースト・リーチ最大化</t>
        </is>
      </c>
      <c r="E18" s="5" t="inlineStr">
        <is>
          <t>TT</t>
        </is>
      </c>
      <c r="F18" s="5" t="inlineStr"/>
      <c r="G18" s="5" t="inlineStr">
        <is>
          <t>-</t>
        </is>
      </c>
      <c r="H18" s="6">
        <f>I18/$I31</f>
        <v/>
      </c>
      <c r="I18" s="7" t="n">
        <v>5000000</v>
      </c>
      <c r="J18" s="5" t="inlineStr">
        <is>
          <t>imp数</t>
        </is>
      </c>
      <c r="K18" s="5" t="inlineStr"/>
      <c r="L18" s="5" t="inlineStr"/>
    </row>
    <row r="19">
      <c r="A19" s="5" t="inlineStr"/>
      <c r="B19" s="5" t="inlineStr"/>
      <c r="C19" s="5" t="inlineStr">
        <is>
          <t>広告配信</t>
        </is>
      </c>
      <c r="D19" s="5" t="inlineStr">
        <is>
          <t>トレンド入り狙い・話題拡散</t>
        </is>
      </c>
      <c r="E19" s="5" t="inlineStr">
        <is>
          <t>X</t>
        </is>
      </c>
      <c r="F19" s="5" t="inlineStr"/>
      <c r="G19" s="5" t="inlineStr">
        <is>
          <t>-</t>
        </is>
      </c>
      <c r="H19" s="6">
        <f>I19/$I31</f>
        <v/>
      </c>
      <c r="I19" s="7" t="n">
        <v>2000000</v>
      </c>
      <c r="J19" s="5" t="inlineStr">
        <is>
          <t>imp数</t>
        </is>
      </c>
      <c r="K19" s="5" t="inlineStr"/>
      <c r="L19" s="5" t="inlineStr"/>
    </row>
    <row r="20">
      <c r="A20" s="11" t="inlineStr">
        <is>
          <t>Phase3</t>
        </is>
      </c>
      <c r="B20" s="11" t="inlineStr">
        <is>
          <t>SNSトレンド好き
（UGC醸成）</t>
        </is>
      </c>
      <c r="C20" s="11" t="inlineStr">
        <is>
          <t>ミドルKOL アレンジ</t>
        </is>
      </c>
      <c r="D20" s="11" t="inlineStr">
        <is>
          <t>チーズ/卵/〆ご飯等</t>
        </is>
      </c>
      <c r="E20" s="11" t="inlineStr">
        <is>
          <t>TT</t>
        </is>
      </c>
      <c r="F20" s="11" t="inlineStr">
        <is>
          <t>有り</t>
        </is>
      </c>
      <c r="G20" s="11" t="inlineStr">
        <is>
          <t>Middle</t>
        </is>
      </c>
      <c r="H20" s="12">
        <f>I20/$I31</f>
        <v/>
      </c>
      <c r="I20" s="13" t="n">
        <v>2100000</v>
      </c>
      <c r="J20" s="11" t="inlineStr">
        <is>
          <t>再生数</t>
        </is>
      </c>
      <c r="K20" s="11" t="n">
        <v>4</v>
      </c>
      <c r="L20" s="13">
        <f>I20/K20</f>
        <v/>
      </c>
    </row>
    <row r="21">
      <c r="A21" s="11" t="inlineStr"/>
      <c r="B21" s="11" t="inlineStr"/>
      <c r="C21" s="11" t="inlineStr">
        <is>
          <t>マイクロKOL アレンジ</t>
        </is>
      </c>
      <c r="D21" s="11" t="inlineStr">
        <is>
          <t>バリエーション展開</t>
        </is>
      </c>
      <c r="E21" s="11" t="inlineStr">
        <is>
          <t>TT</t>
        </is>
      </c>
      <c r="F21" s="11" t="inlineStr">
        <is>
          <t>有り</t>
        </is>
      </c>
      <c r="G21" s="11" t="inlineStr">
        <is>
          <t>Nano</t>
        </is>
      </c>
      <c r="H21" s="12">
        <f>I21/$I31</f>
        <v/>
      </c>
      <c r="I21" s="13" t="n">
        <v>400000</v>
      </c>
      <c r="J21" s="11" t="inlineStr">
        <is>
          <t>再生数</t>
        </is>
      </c>
      <c r="K21" s="11" t="n">
        <v>5</v>
      </c>
      <c r="L21" s="13">
        <f>I21/K21</f>
        <v/>
      </c>
    </row>
    <row r="22">
      <c r="A22" s="11" t="inlineStr"/>
      <c r="B22" s="11" t="inlineStr"/>
      <c r="C22" s="11" t="inlineStr">
        <is>
          <t>ミドルKOL アレンジ</t>
        </is>
      </c>
      <c r="D22" s="11" t="inlineStr">
        <is>
          <t>アレンジ投稿</t>
        </is>
      </c>
      <c r="E22" s="11" t="inlineStr">
        <is>
          <t>X</t>
        </is>
      </c>
      <c r="F22" s="11" t="inlineStr">
        <is>
          <t>無し</t>
        </is>
      </c>
      <c r="G22" s="11" t="inlineStr">
        <is>
          <t>Middle</t>
        </is>
      </c>
      <c r="H22" s="12">
        <f>I22/$I31</f>
        <v/>
      </c>
      <c r="I22" s="13" t="n">
        <v>300000</v>
      </c>
      <c r="J22" s="11" t="inlineStr">
        <is>
          <t>imp数</t>
        </is>
      </c>
      <c r="K22" s="11" t="n">
        <v>2</v>
      </c>
      <c r="L22" s="13">
        <f>I22/K22</f>
        <v/>
      </c>
    </row>
    <row r="23">
      <c r="A23" s="11" t="inlineStr"/>
      <c r="B23" s="11" t="inlineStr">
        <is>
          <t>SNS話題HOOK</t>
        </is>
      </c>
      <c r="C23" s="11" t="inlineStr">
        <is>
          <t>ミドルKOL</t>
        </is>
      </c>
      <c r="D23" s="11" t="inlineStr">
        <is>
          <t>○○見ながら訴求</t>
        </is>
      </c>
      <c r="E23" s="11" t="inlineStr">
        <is>
          <t>TT</t>
        </is>
      </c>
      <c r="F23" s="11" t="inlineStr">
        <is>
          <t>有り</t>
        </is>
      </c>
      <c r="G23" s="11" t="inlineStr">
        <is>
          <t>Middle</t>
        </is>
      </c>
      <c r="H23" s="12">
        <f>I23/$I31</f>
        <v/>
      </c>
      <c r="I23" s="13" t="n">
        <v>1400000</v>
      </c>
      <c r="J23" s="11" t="inlineStr">
        <is>
          <t>再生数</t>
        </is>
      </c>
      <c r="K23" s="11" t="n">
        <v>4</v>
      </c>
      <c r="L23" s="13">
        <f>I23/K23</f>
        <v/>
      </c>
    </row>
    <row r="24">
      <c r="A24" s="11" t="inlineStr"/>
      <c r="B24" s="11" t="inlineStr"/>
      <c r="C24" s="11" t="inlineStr">
        <is>
          <t>マイクロKOL</t>
        </is>
      </c>
      <c r="D24" s="11" t="inlineStr">
        <is>
          <t>サブ投稿</t>
        </is>
      </c>
      <c r="E24" s="11" t="inlineStr">
        <is>
          <t>TT</t>
        </is>
      </c>
      <c r="F24" s="11" t="inlineStr">
        <is>
          <t>有り</t>
        </is>
      </c>
      <c r="G24" s="11" t="inlineStr">
        <is>
          <t>Nano</t>
        </is>
      </c>
      <c r="H24" s="12">
        <f>I24/$I31</f>
        <v/>
      </c>
      <c r="I24" s="13" t="n">
        <v>600000</v>
      </c>
      <c r="J24" s="11" t="inlineStr">
        <is>
          <t>再生数</t>
        </is>
      </c>
      <c r="K24" s="11" t="n">
        <v>5</v>
      </c>
      <c r="L24" s="13">
        <f>I24/K24</f>
        <v/>
      </c>
    </row>
    <row r="25">
      <c r="A25" s="11" t="inlineStr"/>
      <c r="B25" s="11" t="inlineStr">
        <is>
          <t>ミーム系チャレンジ</t>
        </is>
      </c>
      <c r="C25" s="11" t="inlineStr">
        <is>
          <t>ペイドKOL</t>
        </is>
      </c>
      <c r="D25" s="11" t="inlineStr">
        <is>
          <t>チャレンジ火付け役</t>
        </is>
      </c>
      <c r="E25" s="11" t="inlineStr">
        <is>
          <t>TT</t>
        </is>
      </c>
      <c r="F25" s="11" t="inlineStr">
        <is>
          <t>有り</t>
        </is>
      </c>
      <c r="G25" s="11" t="inlineStr">
        <is>
          <t>Middle</t>
        </is>
      </c>
      <c r="H25" s="12">
        <f>I25/$I31</f>
        <v/>
      </c>
      <c r="I25" s="13" t="n">
        <v>2000000</v>
      </c>
      <c r="J25" s="11" t="inlineStr">
        <is>
          <t>参加数</t>
        </is>
      </c>
      <c r="K25" s="11" t="n">
        <v>4</v>
      </c>
      <c r="L25" s="13">
        <f>I25/K25</f>
        <v/>
      </c>
    </row>
    <row r="26">
      <c r="A26" s="11" t="inlineStr"/>
      <c r="B26" s="11" t="inlineStr"/>
      <c r="C26" s="11" t="inlineStr">
        <is>
          <t>チャレンジ運用費</t>
        </is>
      </c>
      <c r="D26" s="11" t="inlineStr">
        <is>
          <t>ハッシュタグ管理等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2">
        <f>I26/$I31</f>
        <v/>
      </c>
      <c r="I26" s="13" t="n">
        <v>700000</v>
      </c>
      <c r="J26" s="11" t="inlineStr">
        <is>
          <t>-</t>
        </is>
      </c>
      <c r="K26" s="11" t="inlineStr"/>
      <c r="L26" s="11" t="inlineStr"/>
    </row>
    <row r="27">
      <c r="A27" s="5" t="inlineStr"/>
      <c r="B27" s="5" t="inlineStr">
        <is>
          <t>広告配信</t>
        </is>
      </c>
      <c r="C27" s="5" t="inlineStr">
        <is>
          <t>広告配信</t>
        </is>
      </c>
      <c r="D27" s="5" t="inlineStr">
        <is>
          <t>アレンジ・ミーム拡散</t>
        </is>
      </c>
      <c r="E27" s="5" t="inlineStr">
        <is>
          <t>TT</t>
        </is>
      </c>
      <c r="F27" s="5" t="inlineStr"/>
      <c r="G27" s="5" t="inlineStr">
        <is>
          <t>-</t>
        </is>
      </c>
      <c r="H27" s="6">
        <f>I27/$I31</f>
        <v/>
      </c>
      <c r="I27" s="7" t="n">
        <v>2500000</v>
      </c>
      <c r="J27" s="5" t="inlineStr">
        <is>
          <t>imp数</t>
        </is>
      </c>
      <c r="K27" s="5" t="inlineStr"/>
      <c r="L27" s="5" t="inlineStr"/>
    </row>
    <row r="28">
      <c r="A28" s="5" t="inlineStr"/>
      <c r="B28" s="5" t="inlineStr"/>
      <c r="C28" s="5" t="inlineStr">
        <is>
          <t>広告配信</t>
        </is>
      </c>
      <c r="D28" s="5" t="inlineStr">
        <is>
          <t>Reelsリターゲティング</t>
        </is>
      </c>
      <c r="E28" s="5" t="inlineStr">
        <is>
          <t>IG</t>
        </is>
      </c>
      <c r="F28" s="5" t="inlineStr"/>
      <c r="G28" s="5" t="inlineStr">
        <is>
          <t>-</t>
        </is>
      </c>
      <c r="H28" s="6">
        <f>I28/$I31</f>
        <v/>
      </c>
      <c r="I28" s="7" t="n">
        <v>1500000</v>
      </c>
      <c r="J28" s="5" t="inlineStr">
        <is>
          <t>imp数</t>
        </is>
      </c>
      <c r="K28" s="5" t="inlineStr"/>
      <c r="L28" s="5" t="inlineStr"/>
    </row>
    <row r="29">
      <c r="A29" s="11" t="inlineStr">
        <is>
          <t>予備費</t>
        </is>
      </c>
      <c r="B29" s="11" t="inlineStr"/>
      <c r="C29" s="11" t="inlineStr">
        <is>
          <t>追加ブースト対応</t>
        </is>
      </c>
      <c r="D29" s="11" t="inlineStr"/>
      <c r="E29" s="11" t="inlineStr">
        <is>
          <t>-</t>
        </is>
      </c>
      <c r="F29" s="11" t="inlineStr">
        <is>
          <t>-</t>
        </is>
      </c>
      <c r="G29" s="11" t="inlineStr">
        <is>
          <t>-</t>
        </is>
      </c>
      <c r="H29" s="12">
        <f>I29/$I31</f>
        <v/>
      </c>
      <c r="I29" s="13" t="n">
        <v>800000</v>
      </c>
      <c r="J29" s="11" t="inlineStr">
        <is>
          <t>-</t>
        </is>
      </c>
      <c r="K29" s="11" t="inlineStr"/>
      <c r="L29" s="11" t="inlineStr"/>
    </row>
    <row r="30">
      <c r="A30" s="14" t="inlineStr"/>
      <c r="B30" s="14" t="inlineStr"/>
      <c r="C30" s="14" t="inlineStr">
        <is>
          <t>緊急対応・リスク管理</t>
        </is>
      </c>
      <c r="D30" s="14" t="inlineStr"/>
      <c r="E30" s="14" t="inlineStr">
        <is>
          <t>-</t>
        </is>
      </c>
      <c r="F30" s="14" t="inlineStr">
        <is>
          <t>-</t>
        </is>
      </c>
      <c r="G30" s="14" t="inlineStr">
        <is>
          <t>-</t>
        </is>
      </c>
      <c r="H30" s="15">
        <f>I30/$I31</f>
        <v/>
      </c>
      <c r="I30" s="16" t="n">
        <v>700000</v>
      </c>
      <c r="J30" s="14" t="inlineStr">
        <is>
          <t>-</t>
        </is>
      </c>
      <c r="K30" s="14" t="inlineStr"/>
      <c r="L30" s="14" t="inlineStr"/>
    </row>
    <row r="31">
      <c r="A31" s="17" t="n"/>
      <c r="B31" s="17" t="n"/>
      <c r="C31" s="17" t="n"/>
      <c r="D31" s="17" t="n"/>
      <c r="E31" s="17" t="n"/>
      <c r="F31" s="17" t="n"/>
      <c r="G31" s="18" t="inlineStr">
        <is>
          <t>合計</t>
        </is>
      </c>
      <c r="H31" s="19">
        <f>SUM(H3:H30)</f>
        <v/>
      </c>
      <c r="I31" s="20">
        <f>SUM(I3:I30)</f>
        <v/>
      </c>
      <c r="J31" s="17" t="n"/>
      <c r="K31" s="17" t="n"/>
      <c r="L31" s="17" t="n"/>
    </row>
    <row r="34">
      <c r="B34" s="21" t="inlineStr">
        <is>
          <t>月</t>
        </is>
      </c>
      <c r="C34" s="21" t="inlineStr">
        <is>
          <t>フェーズ</t>
        </is>
      </c>
      <c r="D34" s="21" t="inlineStr">
        <is>
          <t>費用</t>
        </is>
      </c>
    </row>
    <row r="35">
      <c r="B35" t="inlineStr">
        <is>
          <t>発売前</t>
        </is>
      </c>
      <c r="C35" t="inlineStr">
        <is>
          <t>Phase1: 話題化</t>
        </is>
      </c>
      <c r="D35" s="22">
        <f>SUM(I3:I7)</f>
        <v/>
      </c>
    </row>
    <row r="36">
      <c r="B36" t="inlineStr">
        <is>
          <t>発売期</t>
        </is>
      </c>
      <c r="C36" t="inlineStr">
        <is>
          <t>Phase2: 盛り上げ</t>
        </is>
      </c>
      <c r="D36" s="22">
        <f>SUM(I8:I19)</f>
        <v/>
      </c>
    </row>
    <row r="37">
      <c r="B37" t="inlineStr">
        <is>
          <t>発売後</t>
        </is>
      </c>
      <c r="C37" t="inlineStr">
        <is>
          <t>Phase3: UGC醸成</t>
        </is>
      </c>
      <c r="D37" s="22">
        <f>SUM(I20:I28)</f>
        <v/>
      </c>
    </row>
    <row r="38">
      <c r="B38" t="inlineStr"/>
      <c r="C38" t="inlineStr">
        <is>
          <t>予備費</t>
        </is>
      </c>
      <c r="D38" s="22">
        <f>SUM(I29:I30)</f>
        <v/>
      </c>
    </row>
    <row r="39">
      <c r="B39" t="inlineStr">
        <is>
          <t>合計</t>
        </is>
      </c>
      <c r="C39" t="inlineStr"/>
      <c r="D39" s="23">
        <f>I31</f>
        <v/>
      </c>
    </row>
    <row r="42">
      <c r="B42" s="24" t="inlineStr">
        <is>
          <t>KOLサマリー</t>
        </is>
      </c>
    </row>
    <row r="43">
      <c r="B43" t="inlineStr">
        <is>
          <t>カテゴリ</t>
        </is>
      </c>
      <c r="C43" t="inlineStr">
        <is>
          <t>人数</t>
        </is>
      </c>
      <c r="D43" t="inlineStr">
        <is>
          <t>金額</t>
        </is>
      </c>
    </row>
    <row r="44">
      <c r="B44" t="inlineStr">
        <is>
          <t>メガKOL（100万↑）</t>
        </is>
      </c>
      <c r="C44" t="inlineStr">
        <is>
          <t>3名</t>
        </is>
      </c>
      <c r="D44" s="22" t="n">
        <v>9000000</v>
      </c>
    </row>
    <row r="45">
      <c r="B45" t="inlineStr">
        <is>
          <t>ミドルKOL（10-50万）</t>
        </is>
      </c>
      <c r="C45" t="inlineStr">
        <is>
          <t>25名</t>
        </is>
      </c>
      <c r="D45" s="22" t="n">
        <v>18500000</v>
      </c>
    </row>
    <row r="46">
      <c r="B46" t="inlineStr">
        <is>
          <t>マイクロKOL（1-10万）</t>
        </is>
      </c>
      <c r="C46" t="inlineStr">
        <is>
          <t>6名</t>
        </is>
      </c>
      <c r="D46" s="22" t="n">
        <v>1500000</v>
      </c>
    </row>
    <row r="47">
      <c r="B47" s="21" t="inlineStr">
        <is>
          <t>合計</t>
        </is>
      </c>
      <c r="C47" t="inlineStr">
        <is>
          <t>34名</t>
        </is>
      </c>
      <c r="D47" s="23" t="n">
        <v>29000000</v>
      </c>
    </row>
    <row r="50">
      <c r="B50" s="24" t="inlineStr">
        <is>
          <t>広告配信サマリー</t>
        </is>
      </c>
    </row>
    <row r="51">
      <c r="B51" t="inlineStr">
        <is>
          <t>媒体</t>
        </is>
      </c>
      <c r="C51" t="inlineStr">
        <is>
          <t>金額</t>
        </is>
      </c>
    </row>
    <row r="52">
      <c r="B52" t="inlineStr">
        <is>
          <t>TikTok</t>
        </is>
      </c>
      <c r="C52" s="22" t="n">
        <v>8500000</v>
      </c>
    </row>
    <row r="53">
      <c r="B53" t="inlineStr">
        <is>
          <t>X</t>
        </is>
      </c>
      <c r="C53" s="22" t="n">
        <v>4000000</v>
      </c>
    </row>
    <row r="54">
      <c r="B54" t="inlineStr">
        <is>
          <t>Instagram</t>
        </is>
      </c>
      <c r="C54" s="22" t="n">
        <v>1500000</v>
      </c>
    </row>
    <row r="55">
      <c r="B55" s="21" t="inlineStr">
        <is>
          <t>合計</t>
        </is>
      </c>
      <c r="C55" s="23" t="n">
        <v>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2026-02-01T20:38:57Z</dcterms:created>
  <dcterms:modified xsi:type="dcterms:W3CDTF">2026-02-01T20:38:57Z</dcterms:modified>
</cp:coreProperties>
</file>