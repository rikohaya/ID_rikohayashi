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yuhiumezu/Desktop/CaludeCode/claudecode-media-plan/Projects/シクテン/output/"/>
    </mc:Choice>
  </mc:AlternateContent>
  <xr:revisionPtr revIDLastSave="0" documentId="13_ncr:1_{A83BD821-79B3-C648-9414-12CC7C262F48}" xr6:coauthVersionLast="47" xr6:coauthVersionMax="47" xr10:uidLastSave="{00000000-0000-0000-0000-000000000000}"/>
  <bookViews>
    <workbookView xWindow="0" yWindow="760" windowWidth="30240" windowHeight="17700" xr2:uid="{00000000-000D-0000-FFFF-FFFF00000000}"/>
  </bookViews>
  <sheets>
    <sheet name="メディアプラン のFMT" sheetId="1" r:id="rId1"/>
    <sheet name="【レイアウト見本】回復済み_Sheet1" sheetId="2" r:id="rId2"/>
    <sheet name="【レイアウト見本】回復済み_Sheet2" sheetId="3" r:id="rId3"/>
    <sheet name="【レイアウト見本】回復済み_Sheet3" sheetId="4" r:id="rId4"/>
    <sheet name="【レイアウト見本】回復済み_Sheet4" sheetId="5" r:id="rId5"/>
    <sheet name="【レイアウト見本】★最新_社内SIM_523作成 のコピー"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 l="1"/>
  <c r="J340" i="6"/>
  <c r="I340" i="6" s="1"/>
  <c r="AC339" i="6"/>
  <c r="AA338" i="6"/>
  <c r="AA340" i="6" s="1"/>
  <c r="P338" i="6"/>
  <c r="S338" i="6" s="1"/>
  <c r="L338" i="6"/>
  <c r="I338" i="6"/>
  <c r="AC337" i="6"/>
  <c r="S336" i="6"/>
  <c r="P336" i="6"/>
  <c r="Q336" i="6" s="1"/>
  <c r="L336" i="6"/>
  <c r="M336" i="6" s="1"/>
  <c r="M340" i="6" s="1"/>
  <c r="I336" i="6"/>
  <c r="S335" i="6"/>
  <c r="P335" i="6"/>
  <c r="I335" i="6"/>
  <c r="N334" i="6"/>
  <c r="L334" i="6"/>
  <c r="P334" i="6" s="1"/>
  <c r="I334" i="6"/>
  <c r="P329" i="6"/>
  <c r="S329" i="6" s="1"/>
  <c r="L328" i="6"/>
  <c r="P328" i="6" s="1"/>
  <c r="I328" i="6"/>
  <c r="S321" i="6"/>
  <c r="P321" i="6"/>
  <c r="I321" i="6"/>
  <c r="P320" i="6"/>
  <c r="S320" i="6" s="1"/>
  <c r="I320" i="6"/>
  <c r="S319" i="6"/>
  <c r="P319" i="6"/>
  <c r="I319" i="6"/>
  <c r="P318" i="6"/>
  <c r="P340" i="6" s="1"/>
  <c r="I318" i="6"/>
  <c r="AA315" i="6"/>
  <c r="J315" i="6"/>
  <c r="I296" i="6" s="1"/>
  <c r="AC314" i="6"/>
  <c r="AC313" i="6"/>
  <c r="AC315" i="6" s="1"/>
  <c r="AA313" i="6"/>
  <c r="P313" i="6"/>
  <c r="Q313" i="6" s="1"/>
  <c r="L313" i="6"/>
  <c r="AC312" i="6"/>
  <c r="I312" i="6"/>
  <c r="Q311" i="6"/>
  <c r="P311" i="6"/>
  <c r="S311" i="6" s="1"/>
  <c r="M311" i="6"/>
  <c r="M315" i="6" s="1"/>
  <c r="L311" i="6"/>
  <c r="P310" i="6"/>
  <c r="S310" i="6" s="1"/>
  <c r="P309" i="6"/>
  <c r="Q309" i="6" s="1"/>
  <c r="L309" i="6"/>
  <c r="N309" i="6" s="1"/>
  <c r="S304" i="6"/>
  <c r="P304" i="6"/>
  <c r="Q303" i="6"/>
  <c r="P303" i="6"/>
  <c r="S303" i="6" s="1"/>
  <c r="N303" i="6"/>
  <c r="L303" i="6"/>
  <c r="I303" i="6"/>
  <c r="P296" i="6"/>
  <c r="S296" i="6" s="1"/>
  <c r="S295" i="6"/>
  <c r="P295" i="6"/>
  <c r="I295" i="6"/>
  <c r="P294" i="6"/>
  <c r="S294" i="6" s="1"/>
  <c r="S293" i="6"/>
  <c r="P293" i="6"/>
  <c r="I293" i="6"/>
  <c r="AA290" i="6"/>
  <c r="J290" i="6"/>
  <c r="I279" i="6" s="1"/>
  <c r="I290" i="6"/>
  <c r="AC289" i="6"/>
  <c r="I289" i="6"/>
  <c r="AA288" i="6"/>
  <c r="AC288" i="6" s="1"/>
  <c r="Q288" i="6"/>
  <c r="P288" i="6"/>
  <c r="S288" i="6" s="1"/>
  <c r="L288" i="6"/>
  <c r="AC287" i="6"/>
  <c r="AC290" i="6" s="1"/>
  <c r="P286" i="6"/>
  <c r="Q286" i="6" s="1"/>
  <c r="L286" i="6"/>
  <c r="M286" i="6" s="1"/>
  <c r="M290" i="6" s="1"/>
  <c r="S285" i="6"/>
  <c r="P285" i="6"/>
  <c r="I285" i="6"/>
  <c r="Q284" i="6"/>
  <c r="P284" i="6"/>
  <c r="S284" i="6" s="1"/>
  <c r="N284" i="6"/>
  <c r="L284" i="6"/>
  <c r="I284" i="6"/>
  <c r="P279" i="6"/>
  <c r="S279" i="6" s="1"/>
  <c r="L278" i="6"/>
  <c r="P278" i="6" s="1"/>
  <c r="S271" i="6"/>
  <c r="P271" i="6"/>
  <c r="I271" i="6"/>
  <c r="P270" i="6"/>
  <c r="S270" i="6" s="1"/>
  <c r="S269" i="6"/>
  <c r="P269" i="6"/>
  <c r="I269" i="6"/>
  <c r="P268" i="6"/>
  <c r="P290" i="6" s="1"/>
  <c r="I268" i="6"/>
  <c r="AA265" i="6"/>
  <c r="J265" i="6"/>
  <c r="AC264" i="6"/>
  <c r="AC265" i="6" s="1"/>
  <c r="AC263" i="6"/>
  <c r="AA263" i="6"/>
  <c r="S263" i="6"/>
  <c r="P263" i="6"/>
  <c r="Q263" i="6" s="1"/>
  <c r="L263" i="6"/>
  <c r="I263" i="6"/>
  <c r="AC262" i="6"/>
  <c r="Q261" i="6"/>
  <c r="P261" i="6"/>
  <c r="S261" i="6" s="1"/>
  <c r="M261" i="6"/>
  <c r="M265" i="6" s="1"/>
  <c r="L261" i="6"/>
  <c r="I261" i="6"/>
  <c r="P260" i="6"/>
  <c r="S260" i="6" s="1"/>
  <c r="L259" i="6"/>
  <c r="P259" i="6" s="1"/>
  <c r="S254" i="6"/>
  <c r="P254" i="6"/>
  <c r="I254" i="6"/>
  <c r="S253" i="6"/>
  <c r="Q253" i="6"/>
  <c r="P253" i="6"/>
  <c r="N253" i="6"/>
  <c r="L253" i="6"/>
  <c r="P246" i="6"/>
  <c r="S246" i="6" s="1"/>
  <c r="S245" i="6"/>
  <c r="P245" i="6"/>
  <c r="I245" i="6"/>
  <c r="P244" i="6"/>
  <c r="S244" i="6" s="1"/>
  <c r="S243" i="6"/>
  <c r="P243" i="6"/>
  <c r="I243" i="6"/>
  <c r="J240" i="6"/>
  <c r="I237" i="6" s="1"/>
  <c r="I240" i="6"/>
  <c r="AC239" i="6"/>
  <c r="I239" i="6"/>
  <c r="AA238" i="6"/>
  <c r="AC238" i="6" s="1"/>
  <c r="S238" i="6"/>
  <c r="Q238" i="6"/>
  <c r="P238" i="6"/>
  <c r="L238" i="6"/>
  <c r="AC237" i="6"/>
  <c r="AC240" i="6" s="1"/>
  <c r="P236" i="6"/>
  <c r="S236" i="6" s="1"/>
  <c r="L236" i="6"/>
  <c r="M236" i="6" s="1"/>
  <c r="M240" i="6" s="1"/>
  <c r="S233" i="6"/>
  <c r="P233" i="6"/>
  <c r="I233" i="6"/>
  <c r="S232" i="6"/>
  <c r="Q232" i="6"/>
  <c r="P232" i="6"/>
  <c r="N232" i="6"/>
  <c r="L232" i="6"/>
  <c r="I232" i="6"/>
  <c r="P231" i="6"/>
  <c r="S231" i="6" s="1"/>
  <c r="I231" i="6"/>
  <c r="P230" i="6"/>
  <c r="S230" i="6" s="1"/>
  <c r="L230" i="6"/>
  <c r="N230" i="6" s="1"/>
  <c r="S223" i="6"/>
  <c r="P223" i="6"/>
  <c r="I223" i="6"/>
  <c r="P221" i="6"/>
  <c r="S221" i="6" s="1"/>
  <c r="S220" i="6"/>
  <c r="P220" i="6"/>
  <c r="I220" i="6"/>
  <c r="P219" i="6"/>
  <c r="P240" i="6" s="1"/>
  <c r="I219" i="6"/>
  <c r="S218" i="6"/>
  <c r="P218" i="6"/>
  <c r="I218" i="6"/>
  <c r="J215" i="6"/>
  <c r="I206" i="6" s="1"/>
  <c r="I215" i="6"/>
  <c r="AC214" i="6"/>
  <c r="I214" i="6"/>
  <c r="AA213" i="6"/>
  <c r="AA215" i="6" s="1"/>
  <c r="Q213" i="6"/>
  <c r="P213" i="6"/>
  <c r="S213" i="6" s="1"/>
  <c r="L213" i="6"/>
  <c r="I213" i="6"/>
  <c r="AC212" i="6"/>
  <c r="I212" i="6"/>
  <c r="S211" i="6"/>
  <c r="P211" i="6"/>
  <c r="Q211" i="6" s="1"/>
  <c r="L211" i="6"/>
  <c r="M211" i="6" s="1"/>
  <c r="M215" i="6" s="1"/>
  <c r="I211" i="6"/>
  <c r="S208" i="6"/>
  <c r="P208" i="6"/>
  <c r="I208" i="6"/>
  <c r="N207" i="6"/>
  <c r="L207" i="6"/>
  <c r="P207" i="6" s="1"/>
  <c r="I207" i="6"/>
  <c r="P206" i="6"/>
  <c r="S206" i="6" s="1"/>
  <c r="L205" i="6"/>
  <c r="P205" i="6" s="1"/>
  <c r="I205" i="6"/>
  <c r="S198" i="6"/>
  <c r="P198" i="6"/>
  <c r="I198" i="6"/>
  <c r="Q197" i="6"/>
  <c r="P197" i="6"/>
  <c r="S197" i="6" s="1"/>
  <c r="N197" i="6"/>
  <c r="L197" i="6"/>
  <c r="I197" i="6"/>
  <c r="P196" i="6"/>
  <c r="S196" i="6" s="1"/>
  <c r="I196" i="6"/>
  <c r="S195" i="6"/>
  <c r="P195" i="6"/>
  <c r="I195" i="6"/>
  <c r="P194" i="6"/>
  <c r="S194" i="6" s="1"/>
  <c r="I194" i="6"/>
  <c r="S193" i="6"/>
  <c r="P193" i="6"/>
  <c r="P215" i="6" s="1"/>
  <c r="I193" i="6"/>
  <c r="AA190" i="6"/>
  <c r="M190" i="6"/>
  <c r="J190" i="6"/>
  <c r="I180" i="6" s="1"/>
  <c r="I190" i="6"/>
  <c r="AC189" i="6"/>
  <c r="I189" i="6"/>
  <c r="AA188" i="6"/>
  <c r="AC188" i="6" s="1"/>
  <c r="Q188" i="6"/>
  <c r="P188" i="6"/>
  <c r="S188" i="6" s="1"/>
  <c r="L188" i="6"/>
  <c r="AC187" i="6"/>
  <c r="AC190" i="6" s="1"/>
  <c r="S183" i="6"/>
  <c r="P183" i="6"/>
  <c r="I183" i="6"/>
  <c r="S182" i="6"/>
  <c r="Q182" i="6"/>
  <c r="P182" i="6"/>
  <c r="N182" i="6"/>
  <c r="L182" i="6"/>
  <c r="I182" i="6"/>
  <c r="P181" i="6"/>
  <c r="S181" i="6" s="1"/>
  <c r="I181" i="6"/>
  <c r="P180" i="6"/>
  <c r="S180" i="6" s="1"/>
  <c r="L180" i="6"/>
  <c r="N180" i="6" s="1"/>
  <c r="S173" i="6"/>
  <c r="P173" i="6"/>
  <c r="I173" i="6"/>
  <c r="N172" i="6"/>
  <c r="L172" i="6"/>
  <c r="P172" i="6" s="1"/>
  <c r="I172" i="6"/>
  <c r="P171" i="6"/>
  <c r="S171" i="6" s="1"/>
  <c r="S170" i="6"/>
  <c r="P170" i="6"/>
  <c r="I170" i="6"/>
  <c r="P169" i="6"/>
  <c r="S169" i="6" s="1"/>
  <c r="I169" i="6"/>
  <c r="S168" i="6"/>
  <c r="P168" i="6"/>
  <c r="P190" i="6" s="1"/>
  <c r="I168" i="6"/>
  <c r="M165" i="6"/>
  <c r="J165" i="6"/>
  <c r="I163" i="6" s="1"/>
  <c r="I165" i="6"/>
  <c r="AC164" i="6"/>
  <c r="I164" i="6"/>
  <c r="AA163" i="6"/>
  <c r="AC163" i="6" s="1"/>
  <c r="S163" i="6"/>
  <c r="Q163" i="6"/>
  <c r="P163" i="6"/>
  <c r="L163" i="6"/>
  <c r="AC162" i="6"/>
  <c r="AC165" i="6" s="1"/>
  <c r="I162" i="6"/>
  <c r="S158" i="6"/>
  <c r="P158" i="6"/>
  <c r="I158" i="6"/>
  <c r="N157" i="6"/>
  <c r="L157" i="6"/>
  <c r="P157" i="6" s="1"/>
  <c r="I157" i="6"/>
  <c r="P148" i="6"/>
  <c r="S148" i="6" s="1"/>
  <c r="I148" i="6"/>
  <c r="L147" i="6"/>
  <c r="P147" i="6" s="1"/>
  <c r="I147" i="6"/>
  <c r="S146" i="6"/>
  <c r="P146" i="6"/>
  <c r="I146" i="6"/>
  <c r="P145" i="6"/>
  <c r="S145" i="6" s="1"/>
  <c r="I145" i="6"/>
  <c r="S144" i="6"/>
  <c r="P144" i="6"/>
  <c r="I144" i="6"/>
  <c r="P143" i="6"/>
  <c r="I143" i="6"/>
  <c r="AA140" i="6"/>
  <c r="J140" i="6"/>
  <c r="I125" i="6" s="1"/>
  <c r="AC139" i="6"/>
  <c r="AC138" i="6"/>
  <c r="AC140" i="6" s="1"/>
  <c r="AA138" i="6"/>
  <c r="P138" i="6"/>
  <c r="L138" i="6"/>
  <c r="AC137" i="6"/>
  <c r="I137" i="6"/>
  <c r="S136" i="6"/>
  <c r="Q136" i="6"/>
  <c r="P136" i="6"/>
  <c r="M136" i="6"/>
  <c r="M140" i="6" s="1"/>
  <c r="L136" i="6"/>
  <c r="P133" i="6"/>
  <c r="S133" i="6" s="1"/>
  <c r="L132" i="6"/>
  <c r="N132" i="6" s="1"/>
  <c r="S131" i="6"/>
  <c r="P131" i="6"/>
  <c r="Q130" i="6"/>
  <c r="P130" i="6"/>
  <c r="S130" i="6" s="1"/>
  <c r="N130" i="6"/>
  <c r="L130" i="6"/>
  <c r="I130" i="6"/>
  <c r="P125" i="6"/>
  <c r="S125" i="6" s="1"/>
  <c r="P124" i="6"/>
  <c r="L124" i="6"/>
  <c r="N124" i="6" s="1"/>
  <c r="S121" i="6"/>
  <c r="P121" i="6"/>
  <c r="I121" i="6"/>
  <c r="P120" i="6"/>
  <c r="S120" i="6" s="1"/>
  <c r="S119" i="6"/>
  <c r="P119" i="6"/>
  <c r="P118" i="6"/>
  <c r="AC115" i="6"/>
  <c r="AA115" i="6"/>
  <c r="M115" i="6"/>
  <c r="J115" i="6"/>
  <c r="AC114" i="6"/>
  <c r="AC113" i="6"/>
  <c r="AA113" i="6"/>
  <c r="P113" i="6"/>
  <c r="Q113" i="6" s="1"/>
  <c r="L113" i="6"/>
  <c r="AC112" i="6"/>
  <c r="P108" i="6"/>
  <c r="S108" i="6" s="1"/>
  <c r="S107" i="6"/>
  <c r="P107" i="6"/>
  <c r="Q107" i="6" s="1"/>
  <c r="L107" i="6"/>
  <c r="N107" i="6" s="1"/>
  <c r="S106" i="6"/>
  <c r="P106" i="6"/>
  <c r="S105" i="6"/>
  <c r="Q105" i="6"/>
  <c r="P105" i="6"/>
  <c r="N105" i="6"/>
  <c r="L105" i="6"/>
  <c r="P98" i="6"/>
  <c r="S98" i="6" s="1"/>
  <c r="L97" i="6"/>
  <c r="S96" i="6"/>
  <c r="P96" i="6"/>
  <c r="I96" i="6"/>
  <c r="P95" i="6"/>
  <c r="S95" i="6" s="1"/>
  <c r="S94" i="6"/>
  <c r="P94" i="6"/>
  <c r="P93" i="6"/>
  <c r="S93" i="6" s="1"/>
  <c r="AC90" i="6"/>
  <c r="J90" i="6"/>
  <c r="AC89" i="6"/>
  <c r="AC88" i="6"/>
  <c r="AA88" i="6"/>
  <c r="AA90" i="6" s="1"/>
  <c r="P88" i="6"/>
  <c r="L88" i="6"/>
  <c r="AC87" i="6"/>
  <c r="I87" i="6"/>
  <c r="S86" i="6"/>
  <c r="Q86" i="6"/>
  <c r="P86" i="6"/>
  <c r="M86" i="6"/>
  <c r="M90" i="6" s="1"/>
  <c r="L86" i="6"/>
  <c r="P83" i="6"/>
  <c r="S83" i="6" s="1"/>
  <c r="L82" i="6"/>
  <c r="N82" i="6" s="1"/>
  <c r="S81" i="6"/>
  <c r="P81" i="6"/>
  <c r="I81" i="6"/>
  <c r="N80" i="6"/>
  <c r="L80" i="6"/>
  <c r="P80" i="6" s="1"/>
  <c r="S80" i="6" s="1"/>
  <c r="I80" i="6"/>
  <c r="P73" i="6"/>
  <c r="S73" i="6" s="1"/>
  <c r="P72" i="6"/>
  <c r="L72" i="6"/>
  <c r="N72" i="6" s="1"/>
  <c r="S71" i="6"/>
  <c r="P71" i="6"/>
  <c r="I71" i="6"/>
  <c r="P70" i="6"/>
  <c r="S70" i="6" s="1"/>
  <c r="S69" i="6"/>
  <c r="P69" i="6"/>
  <c r="I69" i="6"/>
  <c r="P68" i="6"/>
  <c r="S68" i="6" s="1"/>
  <c r="AD62" i="6"/>
  <c r="AA62" i="6"/>
  <c r="AC62" i="6" s="1"/>
  <c r="P60" i="6"/>
  <c r="R60" i="6" s="1"/>
  <c r="J60" i="6"/>
  <c r="P58" i="6"/>
  <c r="S58" i="6" s="1"/>
  <c r="S57" i="6"/>
  <c r="P57" i="6"/>
  <c r="I57" i="6"/>
  <c r="Q56" i="6"/>
  <c r="P56" i="6"/>
  <c r="S56" i="6" s="1"/>
  <c r="M56" i="6"/>
  <c r="L56" i="6"/>
  <c r="AC54" i="6"/>
  <c r="AD54" i="6" s="1"/>
  <c r="AB54" i="6"/>
  <c r="I54" i="6"/>
  <c r="AA53" i="6"/>
  <c r="V53" i="6"/>
  <c r="Q53" i="6"/>
  <c r="P53" i="6"/>
  <c r="S53" i="6" s="1"/>
  <c r="X53" i="6" s="1"/>
  <c r="M53" i="6"/>
  <c r="L53" i="6"/>
  <c r="I53" i="6"/>
  <c r="AA52" i="6"/>
  <c r="X52" i="6"/>
  <c r="V52" i="6"/>
  <c r="S52" i="6"/>
  <c r="Q52" i="6"/>
  <c r="P52" i="6"/>
  <c r="M52" i="6"/>
  <c r="M60" i="6" s="1"/>
  <c r="L52" i="6"/>
  <c r="I52" i="6"/>
  <c r="S51" i="6"/>
  <c r="X51" i="6" s="1"/>
  <c r="AA51" i="6" s="1"/>
  <c r="P51" i="6"/>
  <c r="S50" i="6"/>
  <c r="X50" i="6" s="1"/>
  <c r="AA50" i="6" s="1"/>
  <c r="P50" i="6"/>
  <c r="AA49" i="6"/>
  <c r="AB49" i="6" s="1"/>
  <c r="S49" i="6"/>
  <c r="X49" i="6" s="1"/>
  <c r="P49" i="6"/>
  <c r="AC48" i="6"/>
  <c r="AD48" i="6" s="1"/>
  <c r="AA48" i="6"/>
  <c r="AB48" i="6" s="1"/>
  <c r="S48" i="6"/>
  <c r="X48" i="6" s="1"/>
  <c r="P48" i="6"/>
  <c r="AA47" i="6"/>
  <c r="AB47" i="6" s="1"/>
  <c r="S47" i="6"/>
  <c r="X47" i="6" s="1"/>
  <c r="P47" i="6"/>
  <c r="I47" i="6"/>
  <c r="S46" i="6"/>
  <c r="X46" i="6" s="1"/>
  <c r="AA46" i="6" s="1"/>
  <c r="P46" i="6"/>
  <c r="I46" i="6"/>
  <c r="AA45" i="6"/>
  <c r="S45" i="6"/>
  <c r="X45" i="6" s="1"/>
  <c r="P45" i="6"/>
  <c r="S44" i="6"/>
  <c r="P44" i="6"/>
  <c r="I44" i="6"/>
  <c r="AC37" i="6"/>
  <c r="AD37" i="6" s="1"/>
  <c r="AA37" i="6"/>
  <c r="AC32" i="6"/>
  <c r="AC31" i="6"/>
  <c r="AC30" i="6"/>
  <c r="AD30" i="6" s="1"/>
  <c r="AB30" i="6"/>
  <c r="AC29" i="6"/>
  <c r="AD29" i="6" s="1"/>
  <c r="AA29" i="6"/>
  <c r="AB29" i="6" s="1"/>
  <c r="S29" i="6"/>
  <c r="X29" i="6" s="1"/>
  <c r="Q29" i="6"/>
  <c r="P29" i="6"/>
  <c r="M29" i="6"/>
  <c r="L29" i="6"/>
  <c r="M28" i="6"/>
  <c r="L28" i="6"/>
  <c r="P28" i="6" s="1"/>
  <c r="S28" i="6" s="1"/>
  <c r="X28" i="6" s="1"/>
  <c r="AA28" i="6" s="1"/>
  <c r="M27" i="6"/>
  <c r="L27" i="6"/>
  <c r="P27" i="6" s="1"/>
  <c r="S27" i="6" s="1"/>
  <c r="M26" i="6"/>
  <c r="L26" i="6"/>
  <c r="P26" i="6" s="1"/>
  <c r="S26" i="6" s="1"/>
  <c r="X26" i="6" s="1"/>
  <c r="AA26" i="6" s="1"/>
  <c r="M25" i="6"/>
  <c r="L25" i="6"/>
  <c r="P25" i="6" s="1"/>
  <c r="S25" i="6" s="1"/>
  <c r="S24" i="6"/>
  <c r="X24" i="6" s="1"/>
  <c r="AA24" i="6" s="1"/>
  <c r="P24" i="6"/>
  <c r="AB23" i="6"/>
  <c r="AA23" i="6"/>
  <c r="AC23" i="6" s="1"/>
  <c r="AD23" i="6" s="1"/>
  <c r="S23" i="6"/>
  <c r="X23" i="6" s="1"/>
  <c r="P23" i="6"/>
  <c r="S22" i="6"/>
  <c r="X22" i="6" s="1"/>
  <c r="AA22" i="6" s="1"/>
  <c r="P22" i="6"/>
  <c r="S21" i="6"/>
  <c r="X21" i="6" s="1"/>
  <c r="AA21" i="6" s="1"/>
  <c r="P21" i="6"/>
  <c r="S20" i="6"/>
  <c r="X20" i="6" s="1"/>
  <c r="AA20" i="6" s="1"/>
  <c r="P20" i="6"/>
  <c r="AB19" i="6"/>
  <c r="AA19" i="6"/>
  <c r="AC19" i="6" s="1"/>
  <c r="AD19" i="6" s="1"/>
  <c r="S19" i="6"/>
  <c r="X19" i="6" s="1"/>
  <c r="P19" i="6"/>
  <c r="S18" i="6"/>
  <c r="X18" i="6" s="1"/>
  <c r="AA18" i="6" s="1"/>
  <c r="P18" i="6"/>
  <c r="S17" i="6"/>
  <c r="X17" i="6" s="1"/>
  <c r="AA17" i="6" s="1"/>
  <c r="P17" i="6"/>
  <c r="S16" i="6"/>
  <c r="X16" i="6" s="1"/>
  <c r="AA16" i="6" s="1"/>
  <c r="P16" i="6"/>
  <c r="S15" i="6"/>
  <c r="X15" i="6" s="1"/>
  <c r="AA15" i="6" s="1"/>
  <c r="P15" i="6"/>
  <c r="J9" i="6"/>
  <c r="I9" i="6" s="1"/>
  <c r="I7" i="6"/>
  <c r="I6" i="6"/>
  <c r="G79" i="4"/>
  <c r="N78" i="4"/>
  <c r="Q78" i="4" s="1"/>
  <c r="H78" i="4"/>
  <c r="Q77" i="4"/>
  <c r="H77" i="4"/>
  <c r="N77" i="4" s="1"/>
  <c r="N76" i="4"/>
  <c r="Q76" i="4" s="1"/>
  <c r="H76" i="4"/>
  <c r="H75" i="4"/>
  <c r="N75" i="4" s="1"/>
  <c r="Q75" i="4" s="1"/>
  <c r="Q74" i="4"/>
  <c r="N74" i="4"/>
  <c r="H74" i="4"/>
  <c r="N73" i="4"/>
  <c r="Q73" i="4" s="1"/>
  <c r="H73" i="4"/>
  <c r="N72" i="4"/>
  <c r="Q72" i="4" s="1"/>
  <c r="K72" i="4"/>
  <c r="J72" i="4"/>
  <c r="H72" i="4"/>
  <c r="H71" i="4"/>
  <c r="H70" i="4"/>
  <c r="J70" i="4" s="1"/>
  <c r="N70" i="4" s="1"/>
  <c r="O70" i="4" s="1"/>
  <c r="N69" i="4"/>
  <c r="Q69" i="4" s="1"/>
  <c r="K69" i="4"/>
  <c r="J69" i="4"/>
  <c r="H69" i="4"/>
  <c r="H68" i="4"/>
  <c r="J67" i="4"/>
  <c r="N67" i="4" s="1"/>
  <c r="O67" i="4" s="1"/>
  <c r="H67" i="4"/>
  <c r="H66" i="4"/>
  <c r="J66" i="4" s="1"/>
  <c r="K66" i="4" s="1"/>
  <c r="J65" i="4"/>
  <c r="H65" i="4"/>
  <c r="H64" i="4"/>
  <c r="G56" i="4"/>
  <c r="H55" i="4"/>
  <c r="N55" i="4" s="1"/>
  <c r="Q55" i="4" s="1"/>
  <c r="Q54" i="4"/>
  <c r="N54" i="4"/>
  <c r="H54" i="4"/>
  <c r="N53" i="4"/>
  <c r="Q53" i="4" s="1"/>
  <c r="H53" i="4"/>
  <c r="H52" i="4"/>
  <c r="N52" i="4" s="1"/>
  <c r="Q52" i="4" s="1"/>
  <c r="H51" i="4"/>
  <c r="N51" i="4" s="1"/>
  <c r="Q51" i="4" s="1"/>
  <c r="J50" i="4"/>
  <c r="H50" i="4"/>
  <c r="H49" i="4"/>
  <c r="J48" i="4"/>
  <c r="N48" i="4" s="1"/>
  <c r="O48" i="4" s="1"/>
  <c r="H48" i="4"/>
  <c r="H47" i="4"/>
  <c r="J47" i="4" s="1"/>
  <c r="K47" i="4" s="1"/>
  <c r="J46" i="4"/>
  <c r="H46" i="4"/>
  <c r="H45" i="4"/>
  <c r="H44" i="4"/>
  <c r="J44" i="4" s="1"/>
  <c r="N44" i="4" s="1"/>
  <c r="O44" i="4" s="1"/>
  <c r="J43" i="4"/>
  <c r="N43" i="4" s="1"/>
  <c r="Q43" i="4" s="1"/>
  <c r="H43" i="4"/>
  <c r="O43" i="4" s="1"/>
  <c r="H42" i="4"/>
  <c r="G34" i="4"/>
  <c r="H33" i="4"/>
  <c r="N33" i="4" s="1"/>
  <c r="Q33" i="4" s="1"/>
  <c r="Q32" i="4"/>
  <c r="N32" i="4"/>
  <c r="H32" i="4"/>
  <c r="N31" i="4"/>
  <c r="Q31" i="4" s="1"/>
  <c r="H31" i="4"/>
  <c r="N30" i="4"/>
  <c r="H30" i="4"/>
  <c r="J30" i="4" s="1"/>
  <c r="K30" i="4" s="1"/>
  <c r="J29" i="4"/>
  <c r="H29" i="4"/>
  <c r="H28" i="4"/>
  <c r="J27" i="4"/>
  <c r="N27" i="4" s="1"/>
  <c r="O27" i="4" s="1"/>
  <c r="H27" i="4"/>
  <c r="N26" i="4"/>
  <c r="H26" i="4"/>
  <c r="J26" i="4" s="1"/>
  <c r="K26" i="4" s="1"/>
  <c r="J25" i="4"/>
  <c r="H25" i="4"/>
  <c r="H24" i="4"/>
  <c r="G16" i="4"/>
  <c r="H15" i="4"/>
  <c r="N15" i="4" s="1"/>
  <c r="Q15" i="4" s="1"/>
  <c r="Q14" i="4"/>
  <c r="N14" i="4"/>
  <c r="H14" i="4"/>
  <c r="H13" i="4"/>
  <c r="N13" i="4" s="1"/>
  <c r="Q13" i="4" s="1"/>
  <c r="H12" i="4"/>
  <c r="N12" i="4" s="1"/>
  <c r="Q12" i="4" s="1"/>
  <c r="H11" i="4"/>
  <c r="N11" i="4" s="1"/>
  <c r="Q11" i="4" s="1"/>
  <c r="K10" i="4"/>
  <c r="J10" i="4"/>
  <c r="H10" i="4"/>
  <c r="H9" i="4"/>
  <c r="H8" i="4"/>
  <c r="H7" i="4"/>
  <c r="J7" i="4" s="1"/>
  <c r="N7" i="4" s="1"/>
  <c r="Q7" i="4" s="1"/>
  <c r="H6" i="4"/>
  <c r="H5" i="4"/>
  <c r="G48" i="2"/>
  <c r="Z47" i="2"/>
  <c r="H47" i="2"/>
  <c r="AN46" i="2"/>
  <c r="AN47" i="2" s="1"/>
  <c r="AD46" i="2"/>
  <c r="Z46" i="2"/>
  <c r="Y46" i="2"/>
  <c r="Y47" i="2" s="1"/>
  <c r="U46" i="2"/>
  <c r="T46" i="2"/>
  <c r="S46" i="2"/>
  <c r="R46" i="2"/>
  <c r="Q46" i="2"/>
  <c r="Q47" i="2" s="1"/>
  <c r="N46" i="2"/>
  <c r="N47" i="2" s="1"/>
  <c r="H45" i="2"/>
  <c r="AD44" i="2"/>
  <c r="Z44" i="2"/>
  <c r="U44" i="2"/>
  <c r="R44" i="2" s="1"/>
  <c r="T44" i="2"/>
  <c r="S44" i="2"/>
  <c r="N44" i="2"/>
  <c r="Q44" i="2" s="1"/>
  <c r="AD43" i="2"/>
  <c r="Z43" i="2"/>
  <c r="U43" i="2"/>
  <c r="T43" i="2"/>
  <c r="S43" i="2"/>
  <c r="R43" i="2"/>
  <c r="N43" i="2"/>
  <c r="Q43" i="2" s="1"/>
  <c r="K43" i="2"/>
  <c r="J43" i="2"/>
  <c r="AD42" i="2"/>
  <c r="Z42" i="2"/>
  <c r="U42" i="2"/>
  <c r="T42" i="2"/>
  <c r="S42" i="2"/>
  <c r="R42" i="2"/>
  <c r="J42" i="2"/>
  <c r="N42" i="2" s="1"/>
  <c r="AD41" i="2"/>
  <c r="Z41" i="2"/>
  <c r="Y41" i="2"/>
  <c r="U41" i="2"/>
  <c r="T41" i="2"/>
  <c r="S41" i="2"/>
  <c r="R41" i="2"/>
  <c r="Q41" i="2"/>
  <c r="N41" i="2"/>
  <c r="K41" i="2"/>
  <c r="J41" i="2"/>
  <c r="AD39" i="2"/>
  <c r="Z39" i="2"/>
  <c r="R39" i="2"/>
  <c r="H39" i="2"/>
  <c r="N39" i="2" s="1"/>
  <c r="Q39" i="2" s="1"/>
  <c r="AD38" i="2"/>
  <c r="Z38" i="2"/>
  <c r="R38" i="2"/>
  <c r="N38" i="2"/>
  <c r="Q38" i="2" s="1"/>
  <c r="H38" i="2"/>
  <c r="AD37" i="2"/>
  <c r="Z37" i="2"/>
  <c r="Y37" i="2"/>
  <c r="AN37" i="2" s="1"/>
  <c r="X37" i="2"/>
  <c r="AM37" i="2" s="1"/>
  <c r="R37" i="2"/>
  <c r="H37" i="2"/>
  <c r="N37" i="2" s="1"/>
  <c r="Q37" i="2" s="1"/>
  <c r="W37" i="2" s="1"/>
  <c r="AD36" i="2"/>
  <c r="Z36" i="2"/>
  <c r="R36" i="2"/>
  <c r="H36" i="2"/>
  <c r="N36" i="2" s="1"/>
  <c r="Q36" i="2" s="1"/>
  <c r="AD35" i="2"/>
  <c r="W35" i="2"/>
  <c r="R35" i="2"/>
  <c r="N35" i="2"/>
  <c r="Q35" i="2" s="1"/>
  <c r="H35" i="2"/>
  <c r="H33" i="2"/>
  <c r="AD32" i="2"/>
  <c r="Z32" i="2"/>
  <c r="U32" i="2"/>
  <c r="T32" i="2"/>
  <c r="S32" i="2"/>
  <c r="R32" i="2"/>
  <c r="J32" i="2"/>
  <c r="AD31" i="2"/>
  <c r="Z31" i="2"/>
  <c r="U31" i="2"/>
  <c r="T31" i="2"/>
  <c r="S31" i="2"/>
  <c r="R31" i="2"/>
  <c r="Q31" i="2"/>
  <c r="H31" i="2"/>
  <c r="N31" i="2" s="1"/>
  <c r="AD30" i="2"/>
  <c r="Z30" i="2"/>
  <c r="U30" i="2"/>
  <c r="T30" i="2"/>
  <c r="R30" i="2" s="1"/>
  <c r="S30" i="2"/>
  <c r="Q30" i="2"/>
  <c r="Y30" i="2" s="1"/>
  <c r="AN30" i="2" s="1"/>
  <c r="N30" i="2"/>
  <c r="H30" i="2"/>
  <c r="J30" i="2" s="1"/>
  <c r="K30" i="2" s="1"/>
  <c r="AD29" i="2"/>
  <c r="Z29" i="2"/>
  <c r="U29" i="2"/>
  <c r="T29" i="2"/>
  <c r="S29" i="2"/>
  <c r="R29" i="2" s="1"/>
  <c r="O29" i="2"/>
  <c r="J29" i="2"/>
  <c r="N29" i="2" s="1"/>
  <c r="Q29" i="2" s="1"/>
  <c r="AD28" i="2"/>
  <c r="Z28" i="2"/>
  <c r="U28" i="2"/>
  <c r="T28" i="2"/>
  <c r="S28" i="2"/>
  <c r="R28" i="2"/>
  <c r="H28" i="2"/>
  <c r="N28" i="2" s="1"/>
  <c r="Q28" i="2" s="1"/>
  <c r="AD27" i="2"/>
  <c r="Z27" i="2"/>
  <c r="Z34" i="2" s="1"/>
  <c r="U27" i="2"/>
  <c r="T27" i="2"/>
  <c r="S27" i="2"/>
  <c r="R27" i="2" s="1"/>
  <c r="K27" i="2"/>
  <c r="J27" i="2"/>
  <c r="N27" i="2" s="1"/>
  <c r="Q27" i="2" s="1"/>
  <c r="H27" i="2"/>
  <c r="AD26" i="2"/>
  <c r="Z26" i="2"/>
  <c r="U26" i="2"/>
  <c r="T26" i="2"/>
  <c r="S26" i="2"/>
  <c r="R26" i="2"/>
  <c r="N26" i="2"/>
  <c r="Q26" i="2" s="1"/>
  <c r="AD25" i="2"/>
  <c r="Z25" i="2"/>
  <c r="X25" i="2"/>
  <c r="AM25" i="2" s="1"/>
  <c r="U25" i="2"/>
  <c r="T25" i="2"/>
  <c r="S25" i="2"/>
  <c r="R25" i="2" s="1"/>
  <c r="N25" i="2"/>
  <c r="Q25" i="2" s="1"/>
  <c r="Y25" i="2" s="1"/>
  <c r="AN25" i="2" s="1"/>
  <c r="H25" i="2"/>
  <c r="J25" i="2" s="1"/>
  <c r="K25" i="2" s="1"/>
  <c r="AD24" i="2"/>
  <c r="Z24" i="2"/>
  <c r="U24" i="2"/>
  <c r="T24" i="2"/>
  <c r="S24" i="2"/>
  <c r="H24" i="2"/>
  <c r="H34" i="2" s="1"/>
  <c r="H22" i="2"/>
  <c r="AD21" i="2"/>
  <c r="Z21" i="2"/>
  <c r="R21" i="2"/>
  <c r="Q21" i="2"/>
  <c r="W21" i="2" s="1"/>
  <c r="H21" i="2"/>
  <c r="N21" i="2" s="1"/>
  <c r="AD20" i="2"/>
  <c r="Z20" i="2"/>
  <c r="R20" i="2"/>
  <c r="H20" i="2"/>
  <c r="AD19" i="2"/>
  <c r="Z19" i="2"/>
  <c r="R19" i="2"/>
  <c r="H19" i="2"/>
  <c r="N19" i="2" s="1"/>
  <c r="Q19" i="2" s="1"/>
  <c r="AD18" i="2"/>
  <c r="Z18" i="2"/>
  <c r="R18" i="2"/>
  <c r="J18" i="2"/>
  <c r="N18" i="2" s="1"/>
  <c r="O18" i="2" s="1"/>
  <c r="H18" i="2"/>
  <c r="AD17" i="2"/>
  <c r="Z17" i="2"/>
  <c r="R17" i="2"/>
  <c r="N17" i="2"/>
  <c r="Q17" i="2" s="1"/>
  <c r="H17" i="2"/>
  <c r="J17" i="2" s="1"/>
  <c r="K17" i="2" s="1"/>
  <c r="AD16" i="2"/>
  <c r="Z16" i="2"/>
  <c r="R16" i="2"/>
  <c r="H16" i="2"/>
  <c r="N16" i="2" s="1"/>
  <c r="Q16" i="2" s="1"/>
  <c r="AD15" i="2"/>
  <c r="Z15" i="2"/>
  <c r="R15" i="2"/>
  <c r="H15" i="2"/>
  <c r="J15" i="2" s="1"/>
  <c r="AD14" i="2"/>
  <c r="Z14" i="2"/>
  <c r="Y14" i="2"/>
  <c r="AN14" i="2" s="1"/>
  <c r="R14" i="2"/>
  <c r="H14" i="2"/>
  <c r="N14" i="2" s="1"/>
  <c r="Q14" i="2" s="1"/>
  <c r="AD13" i="2"/>
  <c r="Z13" i="2"/>
  <c r="R13" i="2"/>
  <c r="J13" i="2"/>
  <c r="H13" i="2"/>
  <c r="AD12" i="2"/>
  <c r="Z12" i="2"/>
  <c r="R12" i="2"/>
  <c r="H12" i="2"/>
  <c r="N12" i="2" s="1"/>
  <c r="Q12" i="2" s="1"/>
  <c r="AD11" i="2"/>
  <c r="Z11" i="2"/>
  <c r="R11" i="2"/>
  <c r="H11" i="2"/>
  <c r="AD10" i="2"/>
  <c r="Z10" i="2"/>
  <c r="R10" i="2"/>
  <c r="H10" i="2"/>
  <c r="H23" i="2" s="1"/>
  <c r="H9" i="2"/>
  <c r="H8" i="2"/>
  <c r="H7" i="2"/>
  <c r="AD6" i="2"/>
  <c r="Z6" i="2"/>
  <c r="R6" i="2"/>
  <c r="Q6" i="2"/>
  <c r="N6" i="2"/>
  <c r="AD5" i="2"/>
  <c r="Z5" i="2"/>
  <c r="R5" i="2"/>
  <c r="Q5" i="2"/>
  <c r="Y5" i="2" s="1"/>
  <c r="AN5" i="2" s="1"/>
  <c r="O5" i="2"/>
  <c r="H5" i="2"/>
  <c r="AD4" i="2"/>
  <c r="Z4" i="2"/>
  <c r="Y4" i="2"/>
  <c r="AN4" i="2" s="1"/>
  <c r="R4" i="2"/>
  <c r="Q4" i="2"/>
  <c r="X4" i="2" s="1"/>
  <c r="AM4" i="2" s="1"/>
  <c r="H4" i="2"/>
  <c r="O4" i="2" s="1"/>
  <c r="AD3" i="2"/>
  <c r="Z3" i="2"/>
  <c r="Y3" i="2"/>
  <c r="AN3" i="2" s="1"/>
  <c r="R3" i="2"/>
  <c r="Q3" i="2"/>
  <c r="W3" i="2" s="1"/>
  <c r="H3" i="2"/>
  <c r="O3" i="2" s="1"/>
  <c r="L8" i="1"/>
  <c r="H8" i="1"/>
  <c r="K7" i="1"/>
  <c r="O7" i="1" s="1"/>
  <c r="R7" i="1" s="1"/>
  <c r="I7" i="1"/>
  <c r="P7" i="1" s="1"/>
  <c r="I6" i="1"/>
  <c r="R6" i="1" s="1"/>
  <c r="K5" i="1"/>
  <c r="I5" i="1"/>
  <c r="Y16" i="2" l="1"/>
  <c r="AN16" i="2" s="1"/>
  <c r="W16" i="2"/>
  <c r="X16" i="2"/>
  <c r="AM16" i="2" s="1"/>
  <c r="Y28" i="2"/>
  <c r="AN28" i="2" s="1"/>
  <c r="X28" i="2"/>
  <c r="AM28" i="2" s="1"/>
  <c r="W28" i="2"/>
  <c r="W26" i="2"/>
  <c r="Y26" i="2"/>
  <c r="AN26" i="2" s="1"/>
  <c r="X26" i="2"/>
  <c r="AM26" i="2" s="1"/>
  <c r="Z40" i="2"/>
  <c r="Z45" i="2" s="1"/>
  <c r="X31" i="2"/>
  <c r="AM31" i="2" s="1"/>
  <c r="W31" i="2"/>
  <c r="Y38" i="2"/>
  <c r="AN38" i="2" s="1"/>
  <c r="X38" i="2"/>
  <c r="AM38" i="2" s="1"/>
  <c r="W38" i="2"/>
  <c r="N46" i="4"/>
  <c r="Q46" i="4" s="1"/>
  <c r="K46" i="4"/>
  <c r="P5" i="1"/>
  <c r="J10" i="2"/>
  <c r="O17" i="2"/>
  <c r="K18" i="2"/>
  <c r="J20" i="2"/>
  <c r="J24" i="2"/>
  <c r="AL35" i="2"/>
  <c r="V37" i="2"/>
  <c r="AL37" i="2"/>
  <c r="AI37" i="2" s="1"/>
  <c r="AJ37" i="2" s="1"/>
  <c r="Q30" i="4"/>
  <c r="O30" i="4"/>
  <c r="K8" i="1"/>
  <c r="O5" i="1"/>
  <c r="Q18" i="2"/>
  <c r="X19" i="2"/>
  <c r="AM19" i="2" s="1"/>
  <c r="W19" i="2"/>
  <c r="W25" i="2"/>
  <c r="X27" i="2"/>
  <c r="AM27" i="2" s="1"/>
  <c r="W27" i="2"/>
  <c r="Y43" i="2"/>
  <c r="AN43" i="2" s="1"/>
  <c r="X43" i="2"/>
  <c r="AM43" i="2" s="1"/>
  <c r="W43" i="2"/>
  <c r="Y44" i="2"/>
  <c r="AN44" i="2" s="1"/>
  <c r="X44" i="2"/>
  <c r="AM44" i="2" s="1"/>
  <c r="W44" i="2"/>
  <c r="Q26" i="4"/>
  <c r="O26" i="4"/>
  <c r="O13" i="2"/>
  <c r="Y36" i="2"/>
  <c r="AN36" i="2" s="1"/>
  <c r="X36" i="2"/>
  <c r="AM36" i="2" s="1"/>
  <c r="W36" i="2"/>
  <c r="N13" i="2"/>
  <c r="Q13" i="2" s="1"/>
  <c r="K13" i="2"/>
  <c r="Y19" i="2"/>
  <c r="AN19" i="2" s="1"/>
  <c r="R24" i="2"/>
  <c r="Y29" i="2"/>
  <c r="AN29" i="2" s="1"/>
  <c r="X29" i="2"/>
  <c r="AM29" i="2" s="1"/>
  <c r="W29" i="2"/>
  <c r="AN41" i="2"/>
  <c r="X30" i="2"/>
  <c r="AM30" i="2" s="1"/>
  <c r="W30" i="2"/>
  <c r="W39" i="2"/>
  <c r="W40" i="2" s="1"/>
  <c r="Y39" i="2"/>
  <c r="AN39" i="2" s="1"/>
  <c r="X39" i="2"/>
  <c r="AM39" i="2" s="1"/>
  <c r="Y17" i="2"/>
  <c r="AN17" i="2" s="1"/>
  <c r="X17" i="2"/>
  <c r="AM17" i="2" s="1"/>
  <c r="W17" i="2"/>
  <c r="Y12" i="2"/>
  <c r="AN12" i="2" s="1"/>
  <c r="X12" i="2"/>
  <c r="AM12" i="2" s="1"/>
  <c r="AL21" i="2"/>
  <c r="AL3" i="2"/>
  <c r="AI3" i="2" s="1"/>
  <c r="AJ3" i="2" s="1"/>
  <c r="Y6" i="2"/>
  <c r="AN6" i="2" s="1"/>
  <c r="W6" i="2"/>
  <c r="X14" i="2"/>
  <c r="AM14" i="2" s="1"/>
  <c r="W14" i="2"/>
  <c r="X21" i="2"/>
  <c r="AM21" i="2" s="1"/>
  <c r="N50" i="4"/>
  <c r="Q50" i="4" s="1"/>
  <c r="K50" i="4"/>
  <c r="N15" i="2"/>
  <c r="Q15" i="2" s="1"/>
  <c r="K15" i="2"/>
  <c r="Y31" i="2"/>
  <c r="AN31" i="2" s="1"/>
  <c r="W12" i="2"/>
  <c r="Y21" i="2"/>
  <c r="AN21" i="2" s="1"/>
  <c r="O25" i="2"/>
  <c r="Y35" i="2"/>
  <c r="X35" i="2"/>
  <c r="Q40" i="2"/>
  <c r="X3" i="2"/>
  <c r="AM3" i="2" s="1"/>
  <c r="X6" i="2"/>
  <c r="AM6" i="2" s="1"/>
  <c r="Z23" i="2"/>
  <c r="Y27" i="2"/>
  <c r="AN27" i="2" s="1"/>
  <c r="X41" i="2"/>
  <c r="W41" i="2"/>
  <c r="AB15" i="6"/>
  <c r="AC18" i="6"/>
  <c r="AD18" i="6" s="1"/>
  <c r="AB18" i="6"/>
  <c r="J31" i="6"/>
  <c r="AB24" i="6"/>
  <c r="AC24" i="6"/>
  <c r="AD24" i="6" s="1"/>
  <c r="W46" i="2"/>
  <c r="N47" i="4"/>
  <c r="Q67" i="4"/>
  <c r="AB45" i="6"/>
  <c r="AC45" i="6"/>
  <c r="AD45" i="6" s="1"/>
  <c r="AB50" i="6"/>
  <c r="AC50" i="6"/>
  <c r="AD50" i="6" s="1"/>
  <c r="N10" i="4"/>
  <c r="I10" i="4"/>
  <c r="Q70" i="4"/>
  <c r="AC15" i="6"/>
  <c r="AC21" i="6"/>
  <c r="AD21" i="6" s="1"/>
  <c r="AB21" i="6"/>
  <c r="X27" i="6"/>
  <c r="AA27" i="6" s="1"/>
  <c r="V27" i="6"/>
  <c r="AD48" i="2"/>
  <c r="J11" i="2"/>
  <c r="H40" i="2"/>
  <c r="X46" i="2"/>
  <c r="O6" i="4"/>
  <c r="J6" i="4"/>
  <c r="N6" i="4" s="1"/>
  <c r="Q6" i="4" s="1"/>
  <c r="Q27" i="4"/>
  <c r="AB16" i="6"/>
  <c r="AC16" i="6"/>
  <c r="AD16" i="6" s="1"/>
  <c r="AC22" i="6"/>
  <c r="AD22" i="6" s="1"/>
  <c r="AB22" i="6"/>
  <c r="X25" i="6"/>
  <c r="AA25" i="6" s="1"/>
  <c r="AA35" i="6" s="1"/>
  <c r="AA39" i="6" s="1"/>
  <c r="V25" i="6"/>
  <c r="Q124" i="6"/>
  <c r="S124" i="6"/>
  <c r="Q44" i="4"/>
  <c r="Q48" i="4"/>
  <c r="N65" i="4"/>
  <c r="Q65" i="4" s="1"/>
  <c r="K65" i="4"/>
  <c r="AB46" i="6"/>
  <c r="AC46" i="6"/>
  <c r="AD46" i="6" s="1"/>
  <c r="AB52" i="6"/>
  <c r="AC52" i="6"/>
  <c r="AD52" i="6" s="1"/>
  <c r="Q72" i="6"/>
  <c r="S72" i="6"/>
  <c r="N25" i="4"/>
  <c r="Q25" i="4" s="1"/>
  <c r="K25" i="4"/>
  <c r="N29" i="4"/>
  <c r="Q29" i="4" s="1"/>
  <c r="K29" i="4"/>
  <c r="AC17" i="6"/>
  <c r="AD17" i="6" s="1"/>
  <c r="AB17" i="6"/>
  <c r="AB20" i="6"/>
  <c r="AC20" i="6"/>
  <c r="AD20" i="6" s="1"/>
  <c r="AB26" i="6"/>
  <c r="AC26" i="6"/>
  <c r="AD26" i="6" s="1"/>
  <c r="O65" i="4"/>
  <c r="AB28" i="6"/>
  <c r="AC28" i="6"/>
  <c r="AD28" i="6" s="1"/>
  <c r="AB51" i="6"/>
  <c r="AC51" i="6"/>
  <c r="AD51" i="6" s="1"/>
  <c r="AB53" i="6"/>
  <c r="AC53" i="6"/>
  <c r="AD53" i="6" s="1"/>
  <c r="S118" i="6"/>
  <c r="W5" i="2"/>
  <c r="N40" i="2"/>
  <c r="O43" i="2"/>
  <c r="O7" i="4"/>
  <c r="W4" i="2"/>
  <c r="X5" i="2"/>
  <c r="AM5" i="2" s="1"/>
  <c r="K29" i="2"/>
  <c r="N45" i="2"/>
  <c r="Q42" i="2"/>
  <c r="O42" i="2"/>
  <c r="O27" i="2"/>
  <c r="N32" i="2"/>
  <c r="K32" i="2"/>
  <c r="O41" i="2"/>
  <c r="K42" i="2"/>
  <c r="J9" i="4"/>
  <c r="O46" i="4"/>
  <c r="O50" i="4"/>
  <c r="N66" i="4"/>
  <c r="Q88" i="6"/>
  <c r="S88" i="6"/>
  <c r="J64" i="6"/>
  <c r="AB64" i="6" s="1"/>
  <c r="Q60" i="6"/>
  <c r="I58" i="6"/>
  <c r="I5" i="6"/>
  <c r="Q147" i="6"/>
  <c r="S147" i="6"/>
  <c r="S240" i="6"/>
  <c r="T240" i="6" s="1"/>
  <c r="R240" i="6" s="1"/>
  <c r="S334" i="6"/>
  <c r="Q334" i="6"/>
  <c r="I49" i="6"/>
  <c r="S207" i="6"/>
  <c r="Q207" i="6"/>
  <c r="Q240" i="6"/>
  <c r="J24" i="4"/>
  <c r="J28" i="4"/>
  <c r="J42" i="4"/>
  <c r="J45" i="4"/>
  <c r="J49" i="4"/>
  <c r="J64" i="4"/>
  <c r="J68" i="4"/>
  <c r="O69" i="4"/>
  <c r="J71" i="4"/>
  <c r="O72" i="4"/>
  <c r="S60" i="6"/>
  <c r="X44" i="6"/>
  <c r="AA44" i="6" s="1"/>
  <c r="AA60" i="6"/>
  <c r="AA64" i="6" s="1"/>
  <c r="N97" i="6"/>
  <c r="P97" i="6"/>
  <c r="Q115" i="6"/>
  <c r="I107" i="6"/>
  <c r="I95" i="6"/>
  <c r="I108" i="6"/>
  <c r="I97" i="6"/>
  <c r="I115" i="6"/>
  <c r="I98" i="6"/>
  <c r="I114" i="6"/>
  <c r="I93" i="6"/>
  <c r="I112" i="6"/>
  <c r="S259" i="6"/>
  <c r="Q259" i="6"/>
  <c r="J5" i="4"/>
  <c r="J8" i="4"/>
  <c r="Q25" i="6"/>
  <c r="Q26" i="6"/>
  <c r="Q27" i="6"/>
  <c r="Q28" i="6"/>
  <c r="AC47" i="6"/>
  <c r="I51" i="6"/>
  <c r="P82" i="6"/>
  <c r="I94" i="6"/>
  <c r="I106" i="6"/>
  <c r="I113" i="6"/>
  <c r="P132" i="6"/>
  <c r="S157" i="6"/>
  <c r="Q157" i="6"/>
  <c r="V26" i="6"/>
  <c r="V28" i="6"/>
  <c r="I48" i="6"/>
  <c r="I60" i="6" s="1"/>
  <c r="P115" i="6"/>
  <c r="Q215" i="6"/>
  <c r="S265" i="6"/>
  <c r="T265" i="6" s="1"/>
  <c r="Q290" i="6"/>
  <c r="S278" i="6"/>
  <c r="Q278" i="6"/>
  <c r="Q328" i="6"/>
  <c r="S328" i="6"/>
  <c r="K27" i="4"/>
  <c r="K48" i="4"/>
  <c r="K67" i="4"/>
  <c r="K70" i="4"/>
  <c r="J32" i="6"/>
  <c r="AD32" i="6" s="1"/>
  <c r="I45" i="6"/>
  <c r="AC49" i="6"/>
  <c r="AD49" i="6" s="1"/>
  <c r="I56" i="6"/>
  <c r="I90" i="6"/>
  <c r="I68" i="6"/>
  <c r="I89" i="6"/>
  <c r="I82" i="6"/>
  <c r="I70" i="6"/>
  <c r="I83" i="6"/>
  <c r="I72" i="6"/>
  <c r="I73" i="6"/>
  <c r="I105" i="6"/>
  <c r="Q138" i="6"/>
  <c r="S138" i="6"/>
  <c r="P165" i="6"/>
  <c r="Q190" i="6"/>
  <c r="V29" i="6"/>
  <c r="I50" i="6"/>
  <c r="I59" i="6"/>
  <c r="Q80" i="6"/>
  <c r="I86" i="6"/>
  <c r="I88" i="6"/>
  <c r="S113" i="6"/>
  <c r="S172" i="6"/>
  <c r="S190" i="6" s="1"/>
  <c r="T190" i="6" s="1"/>
  <c r="R190" i="6" s="1"/>
  <c r="Q172" i="6"/>
  <c r="Q205" i="6"/>
  <c r="S205" i="6"/>
  <c r="S215" i="6" s="1"/>
  <c r="T215" i="6" s="1"/>
  <c r="R215" i="6" s="1"/>
  <c r="I119" i="6"/>
  <c r="I131" i="6"/>
  <c r="AA165" i="6"/>
  <c r="I253" i="6"/>
  <c r="I262" i="6"/>
  <c r="S286" i="6"/>
  <c r="I304" i="6"/>
  <c r="S309" i="6"/>
  <c r="S313" i="6"/>
  <c r="S315" i="6" s="1"/>
  <c r="T315" i="6" s="1"/>
  <c r="P315" i="6"/>
  <c r="Q338" i="6"/>
  <c r="I124" i="6"/>
  <c r="I133" i="6"/>
  <c r="S143" i="6"/>
  <c r="S165" i="6" s="1"/>
  <c r="T165" i="6" s="1"/>
  <c r="I187" i="6"/>
  <c r="I221" i="6"/>
  <c r="I236" i="6"/>
  <c r="I238" i="6"/>
  <c r="I259" i="6"/>
  <c r="I264" i="6"/>
  <c r="I278" i="6"/>
  <c r="I287" i="6"/>
  <c r="I294" i="6"/>
  <c r="I310" i="6"/>
  <c r="Q315" i="6"/>
  <c r="S318" i="6"/>
  <c r="S340" i="6" s="1"/>
  <c r="T340" i="6" s="1"/>
  <c r="R340" i="6" s="1"/>
  <c r="I329" i="6"/>
  <c r="AA240" i="6"/>
  <c r="Q340" i="6"/>
  <c r="I120" i="6"/>
  <c r="I132" i="6"/>
  <c r="I139" i="6"/>
  <c r="I171" i="6"/>
  <c r="Q180" i="6"/>
  <c r="I188" i="6"/>
  <c r="AC213" i="6"/>
  <c r="AC215" i="6" s="1"/>
  <c r="Q230" i="6"/>
  <c r="N259" i="6"/>
  <c r="I265" i="6"/>
  <c r="I270" i="6"/>
  <c r="N278" i="6"/>
  <c r="I286" i="6"/>
  <c r="I288" i="6"/>
  <c r="I309" i="6"/>
  <c r="I314" i="6"/>
  <c r="I337" i="6"/>
  <c r="AC338" i="6"/>
  <c r="AC340" i="6" s="1"/>
  <c r="I136" i="6"/>
  <c r="I138" i="6"/>
  <c r="I311" i="6"/>
  <c r="I313" i="6"/>
  <c r="I339" i="6"/>
  <c r="I118" i="6"/>
  <c r="I140" i="6"/>
  <c r="N147" i="6"/>
  <c r="N205" i="6"/>
  <c r="S219" i="6"/>
  <c r="Q236" i="6"/>
  <c r="I246" i="6"/>
  <c r="I315" i="6"/>
  <c r="N328" i="6"/>
  <c r="P265" i="6"/>
  <c r="R265" i="6" s="1"/>
  <c r="I230" i="6"/>
  <c r="I244" i="6"/>
  <c r="I260" i="6"/>
  <c r="S268" i="6"/>
  <c r="Q47" i="4" l="1"/>
  <c r="O47" i="4"/>
  <c r="V12" i="2"/>
  <c r="AL12" i="2"/>
  <c r="AI12" i="2" s="1"/>
  <c r="AJ12" i="2" s="1"/>
  <c r="V44" i="2"/>
  <c r="AL44" i="2"/>
  <c r="AI44" i="2" s="1"/>
  <c r="AJ44" i="2" s="1"/>
  <c r="AL25" i="2"/>
  <c r="AI25" i="2" s="1"/>
  <c r="AJ25" i="2" s="1"/>
  <c r="V25" i="2"/>
  <c r="N20" i="2"/>
  <c r="K20" i="2"/>
  <c r="Q10" i="4"/>
  <c r="O10" i="4"/>
  <c r="AL6" i="2"/>
  <c r="AI6" i="2" s="1"/>
  <c r="AJ6" i="2" s="1"/>
  <c r="V6" i="2"/>
  <c r="AL17" i="2"/>
  <c r="AI17" i="2" s="1"/>
  <c r="AJ17" i="2" s="1"/>
  <c r="V17" i="2"/>
  <c r="Y13" i="2"/>
  <c r="AN13" i="2" s="1"/>
  <c r="W13" i="2"/>
  <c r="X13" i="2"/>
  <c r="AM13" i="2" s="1"/>
  <c r="AL28" i="2"/>
  <c r="AI28" i="2" s="1"/>
  <c r="AJ28" i="2" s="1"/>
  <c r="V28" i="2"/>
  <c r="R165" i="6"/>
  <c r="Q165" i="6"/>
  <c r="Q132" i="6"/>
  <c r="S132" i="6"/>
  <c r="J56" i="4"/>
  <c r="N42" i="4"/>
  <c r="K42" i="4"/>
  <c r="N9" i="4"/>
  <c r="K9" i="4"/>
  <c r="Y42" i="2"/>
  <c r="X42" i="2"/>
  <c r="AM42" i="2" s="1"/>
  <c r="W42" i="2"/>
  <c r="AL5" i="2"/>
  <c r="AI5" i="2" s="1"/>
  <c r="AJ5" i="2" s="1"/>
  <c r="V5" i="2"/>
  <c r="AB27" i="6"/>
  <c r="AC27" i="6"/>
  <c r="AD27" i="6" s="1"/>
  <c r="W47" i="2"/>
  <c r="AL46" i="2"/>
  <c r="V46" i="2"/>
  <c r="V47" i="2" s="1"/>
  <c r="V36" i="2"/>
  <c r="AL36" i="2"/>
  <c r="AI36" i="2" s="1"/>
  <c r="AJ36" i="2" s="1"/>
  <c r="V19" i="2"/>
  <c r="AL19" i="2"/>
  <c r="AI19" i="2" s="1"/>
  <c r="AJ19" i="2" s="1"/>
  <c r="V31" i="2"/>
  <c r="AL31" i="2"/>
  <c r="AI31" i="2" s="1"/>
  <c r="AJ31" i="2" s="1"/>
  <c r="N28" i="4"/>
  <c r="K28" i="4"/>
  <c r="Q97" i="6"/>
  <c r="S97" i="6"/>
  <c r="S115" i="6" s="1"/>
  <c r="T115" i="6" s="1"/>
  <c r="R115" i="6" s="1"/>
  <c r="N71" i="4"/>
  <c r="K71" i="4"/>
  <c r="J34" i="4"/>
  <c r="N24" i="4"/>
  <c r="K24" i="4"/>
  <c r="K34" i="4" s="1"/>
  <c r="N8" i="4"/>
  <c r="K8" i="4"/>
  <c r="Q265" i="6"/>
  <c r="P140" i="6"/>
  <c r="AB25" i="6"/>
  <c r="AC25" i="6"/>
  <c r="AD25" i="6" s="1"/>
  <c r="W45" i="2"/>
  <c r="V41" i="2"/>
  <c r="AL41" i="2"/>
  <c r="X40" i="2"/>
  <c r="AM35" i="2"/>
  <c r="AM40" i="2" s="1"/>
  <c r="V35" i="2"/>
  <c r="Y15" i="2"/>
  <c r="AN15" i="2" s="1"/>
  <c r="X15" i="2"/>
  <c r="AM15" i="2" s="1"/>
  <c r="W15" i="2"/>
  <c r="V3" i="2"/>
  <c r="AL29" i="2"/>
  <c r="AI29" i="2" s="1"/>
  <c r="AJ29" i="2" s="1"/>
  <c r="V29" i="2"/>
  <c r="V43" i="2"/>
  <c r="AL43" i="2"/>
  <c r="AI43" i="2" s="1"/>
  <c r="AJ43" i="2" s="1"/>
  <c r="N10" i="2"/>
  <c r="K10" i="2"/>
  <c r="X45" i="2"/>
  <c r="AM41" i="2"/>
  <c r="AM45" i="2" s="1"/>
  <c r="Y40" i="2"/>
  <c r="AN35" i="2"/>
  <c r="AN40" i="2" s="1"/>
  <c r="W18" i="2"/>
  <c r="Y18" i="2"/>
  <c r="AN18" i="2" s="1"/>
  <c r="X18" i="2"/>
  <c r="AM18" i="2" s="1"/>
  <c r="AB32" i="6"/>
  <c r="L32" i="6"/>
  <c r="J79" i="4"/>
  <c r="N64" i="4"/>
  <c r="K64" i="4"/>
  <c r="X47" i="2"/>
  <c r="AM46" i="2"/>
  <c r="AM47" i="2" s="1"/>
  <c r="AC35" i="6"/>
  <c r="AC39" i="6" s="1"/>
  <c r="AD15" i="6"/>
  <c r="J35" i="6"/>
  <c r="AB31" i="6"/>
  <c r="L31" i="6"/>
  <c r="I31" i="6"/>
  <c r="Q45" i="2"/>
  <c r="V21" i="2"/>
  <c r="AL16" i="2"/>
  <c r="AI16" i="2" s="1"/>
  <c r="AJ16" i="2" s="1"/>
  <c r="V16" i="2"/>
  <c r="Q82" i="6"/>
  <c r="S82" i="6"/>
  <c r="S90" i="6" s="1"/>
  <c r="T90" i="6" s="1"/>
  <c r="J16" i="4"/>
  <c r="N5" i="4"/>
  <c r="K5" i="4"/>
  <c r="N68" i="4"/>
  <c r="K68" i="4"/>
  <c r="K40" i="2"/>
  <c r="S140" i="6"/>
  <c r="T140" i="6" s="1"/>
  <c r="AC60" i="6"/>
  <c r="AC64" i="6" s="1"/>
  <c r="AD47" i="6"/>
  <c r="AB44" i="6"/>
  <c r="AC44" i="6"/>
  <c r="AD44" i="6" s="1"/>
  <c r="N49" i="4"/>
  <c r="K49" i="4"/>
  <c r="V4" i="2"/>
  <c r="AL4" i="2"/>
  <c r="AI4" i="2" s="1"/>
  <c r="AJ4" i="2" s="1"/>
  <c r="S290" i="6"/>
  <c r="T290" i="6" s="1"/>
  <c r="R290" i="6" s="1"/>
  <c r="O29" i="4"/>
  <c r="AD31" i="6"/>
  <c r="AI21" i="2"/>
  <c r="AJ21" i="2" s="1"/>
  <c r="AL39" i="2"/>
  <c r="AI39" i="2" s="1"/>
  <c r="AJ39" i="2" s="1"/>
  <c r="V39" i="2"/>
  <c r="V27" i="2"/>
  <c r="AL27" i="2"/>
  <c r="AI27" i="2" s="1"/>
  <c r="AJ27" i="2" s="1"/>
  <c r="R315" i="6"/>
  <c r="P90" i="6"/>
  <c r="N45" i="4"/>
  <c r="K45" i="4"/>
  <c r="Q66" i="4"/>
  <c r="O66" i="4"/>
  <c r="O32" i="2"/>
  <c r="Q32" i="2"/>
  <c r="O25" i="4"/>
  <c r="N11" i="2"/>
  <c r="K11" i="2"/>
  <c r="Z48" i="2"/>
  <c r="O15" i="2"/>
  <c r="V14" i="2"/>
  <c r="AL14" i="2"/>
  <c r="AI14" i="2" s="1"/>
  <c r="AJ14" i="2" s="1"/>
  <c r="AL30" i="2"/>
  <c r="AI30" i="2" s="1"/>
  <c r="AJ30" i="2" s="1"/>
  <c r="V30" i="2"/>
  <c r="R5" i="1"/>
  <c r="R8" i="1" s="1"/>
  <c r="O8" i="1"/>
  <c r="N24" i="2"/>
  <c r="K24" i="2"/>
  <c r="K34" i="2" s="1"/>
  <c r="AL38" i="2"/>
  <c r="AI38" i="2" s="1"/>
  <c r="AJ38" i="2" s="1"/>
  <c r="V38" i="2"/>
  <c r="V26" i="2"/>
  <c r="AL26" i="2"/>
  <c r="AI26" i="2" s="1"/>
  <c r="AJ26" i="2" s="1"/>
  <c r="AN42" i="2" l="1"/>
  <c r="AN45" i="2" s="1"/>
  <c r="Y45" i="2"/>
  <c r="AL15" i="2"/>
  <c r="AI15" i="2" s="1"/>
  <c r="AJ15" i="2" s="1"/>
  <c r="V15" i="2"/>
  <c r="Q24" i="4"/>
  <c r="Q34" i="4" s="1"/>
  <c r="N34" i="4"/>
  <c r="O24" i="4"/>
  <c r="N16" i="4"/>
  <c r="Q5" i="4"/>
  <c r="O5" i="4"/>
  <c r="Q9" i="4"/>
  <c r="O9" i="4"/>
  <c r="K56" i="4"/>
  <c r="M32" i="6"/>
  <c r="P32" i="6"/>
  <c r="Q28" i="4"/>
  <c r="O28" i="4"/>
  <c r="AI46" i="2"/>
  <c r="AL47" i="2"/>
  <c r="Q11" i="2"/>
  <c r="O11" i="2"/>
  <c r="Q42" i="4"/>
  <c r="N56" i="4"/>
  <c r="O42" i="4"/>
  <c r="M31" i="6"/>
  <c r="P31" i="6"/>
  <c r="K79" i="4"/>
  <c r="Q10" i="2"/>
  <c r="N23" i="2"/>
  <c r="O10" i="2"/>
  <c r="AL18" i="2"/>
  <c r="AI18" i="2" s="1"/>
  <c r="AJ18" i="2" s="1"/>
  <c r="V18" i="2"/>
  <c r="R90" i="6"/>
  <c r="Q90" i="6"/>
  <c r="X32" i="2"/>
  <c r="AM32" i="2" s="1"/>
  <c r="W32" i="2"/>
  <c r="Y32" i="2"/>
  <c r="AN32" i="2" s="1"/>
  <c r="V40" i="2"/>
  <c r="R140" i="6"/>
  <c r="Q140" i="6"/>
  <c r="V13" i="2"/>
  <c r="AL13" i="2"/>
  <c r="AI13" i="2" s="1"/>
  <c r="AJ13" i="2" s="1"/>
  <c r="K45" i="2"/>
  <c r="Q49" i="4"/>
  <c r="O49" i="4"/>
  <c r="Q68" i="4"/>
  <c r="O68" i="4"/>
  <c r="AI35" i="2"/>
  <c r="I34" i="6"/>
  <c r="J39" i="6"/>
  <c r="AB39" i="6" s="1"/>
  <c r="I33" i="6"/>
  <c r="I22" i="6"/>
  <c r="I18" i="6"/>
  <c r="I23" i="6"/>
  <c r="I19" i="6"/>
  <c r="I15" i="6"/>
  <c r="I24" i="6"/>
  <c r="I20" i="6"/>
  <c r="I16" i="6"/>
  <c r="I30" i="6"/>
  <c r="I21" i="6"/>
  <c r="I17" i="6"/>
  <c r="I29" i="6"/>
  <c r="I26" i="6"/>
  <c r="I28" i="6"/>
  <c r="I25" i="6"/>
  <c r="I27" i="6"/>
  <c r="V42" i="2"/>
  <c r="V45" i="2" s="1"/>
  <c r="AL42" i="2"/>
  <c r="AI42" i="2" s="1"/>
  <c r="AJ42" i="2" s="1"/>
  <c r="Q45" i="4"/>
  <c r="O45" i="4"/>
  <c r="K23" i="2"/>
  <c r="K48" i="2" s="1"/>
  <c r="N79" i="4"/>
  <c r="Q64" i="4"/>
  <c r="Q79" i="4" s="1"/>
  <c r="O64" i="4"/>
  <c r="Q71" i="4"/>
  <c r="O71" i="4"/>
  <c r="N34" i="2"/>
  <c r="Q24" i="2"/>
  <c r="O24" i="2"/>
  <c r="K16" i="4"/>
  <c r="AL40" i="2"/>
  <c r="I32" i="6"/>
  <c r="AI41" i="2"/>
  <c r="Q8" i="4"/>
  <c r="O8" i="4"/>
  <c r="Q20" i="2"/>
  <c r="O20" i="2"/>
  <c r="AJ41" i="2" l="1"/>
  <c r="AJ45" i="2" s="1"/>
  <c r="AI45" i="2"/>
  <c r="Q56" i="4"/>
  <c r="S32" i="6"/>
  <c r="Q32" i="6"/>
  <c r="AL45" i="2"/>
  <c r="N48" i="2"/>
  <c r="AL32" i="2"/>
  <c r="AI32" i="2" s="1"/>
  <c r="AJ32" i="2" s="1"/>
  <c r="V32" i="2"/>
  <c r="Q23" i="2"/>
  <c r="Q48" i="2" s="1"/>
  <c r="Y10" i="2"/>
  <c r="X10" i="2"/>
  <c r="W10" i="2"/>
  <c r="X11" i="2"/>
  <c r="AM11" i="2" s="1"/>
  <c r="W11" i="2"/>
  <c r="Y11" i="2"/>
  <c r="AN11" i="2" s="1"/>
  <c r="Q34" i="2"/>
  <c r="Y24" i="2"/>
  <c r="W24" i="2"/>
  <c r="X24" i="2"/>
  <c r="S31" i="6"/>
  <c r="S35" i="6" s="1"/>
  <c r="P35" i="6"/>
  <c r="Q31" i="6"/>
  <c r="AJ46" i="2"/>
  <c r="AI47" i="2"/>
  <c r="AJ47" i="2" s="1"/>
  <c r="Y20" i="2"/>
  <c r="AN20" i="2" s="1"/>
  <c r="X20" i="2"/>
  <c r="AM20" i="2" s="1"/>
  <c r="W20" i="2"/>
  <c r="M35" i="6"/>
  <c r="I35" i="6"/>
  <c r="AJ35" i="2"/>
  <c r="AJ40" i="2" s="1"/>
  <c r="AI40" i="2"/>
  <c r="Q16" i="4"/>
  <c r="R35" i="6" l="1"/>
  <c r="Q35" i="6"/>
  <c r="X34" i="2"/>
  <c r="AM24" i="2"/>
  <c r="AM34" i="2" s="1"/>
  <c r="X23" i="2"/>
  <c r="AM10" i="2"/>
  <c r="AM23" i="2" s="1"/>
  <c r="AM48" i="2" s="1"/>
  <c r="Y23" i="2"/>
  <c r="AN10" i="2"/>
  <c r="AN23" i="2" s="1"/>
  <c r="AN48" i="2" s="1"/>
  <c r="V11" i="2"/>
  <c r="AL11" i="2"/>
  <c r="AI11" i="2" s="1"/>
  <c r="AJ11" i="2" s="1"/>
  <c r="W23" i="2"/>
  <c r="AL10" i="2"/>
  <c r="V10" i="2"/>
  <c r="AL20" i="2"/>
  <c r="AI20" i="2" s="1"/>
  <c r="AJ20" i="2" s="1"/>
  <c r="V20" i="2"/>
  <c r="W34" i="2"/>
  <c r="AL24" i="2"/>
  <c r="V24" i="2"/>
  <c r="V34" i="2" s="1"/>
  <c r="Y34" i="2"/>
  <c r="AN24" i="2"/>
  <c r="AN34" i="2" s="1"/>
  <c r="V23" i="2" l="1"/>
  <c r="AL23" i="2"/>
  <c r="AI10" i="2"/>
  <c r="AL34" i="2"/>
  <c r="AI24" i="2"/>
  <c r="AI34" i="2" l="1"/>
  <c r="AJ34" i="2" s="1"/>
  <c r="AJ24" i="2"/>
  <c r="AJ10" i="2"/>
  <c r="AI23" i="2"/>
  <c r="AL48" i="2"/>
  <c r="AI48" i="2" l="1"/>
  <c r="AJ23" i="2"/>
  <c r="AJ48" i="2" s="1"/>
</calcChain>
</file>

<file path=xl/sharedStrings.xml><?xml version="1.0" encoding="utf-8"?>
<sst xmlns="http://schemas.openxmlformats.org/spreadsheetml/2006/main" count="1952" uniqueCount="290">
  <si>
    <t>コピーして使用
この色の部分を編集してください。
Check Point
・フォロワー単価→ BD確認
・平均フォロワー数に対して起用人数を現実担保できるか。
・合計IMP/リーチ数は施策ターゲット人口に対して十分か。
・広告配信のCPMは妥当性があるか。現実離れしていないか。</t>
  </si>
  <si>
    <t>施策</t>
  </si>
  <si>
    <t>詳細</t>
  </si>
  <si>
    <t>広告配信有無</t>
  </si>
  <si>
    <t>ターゲット</t>
  </si>
  <si>
    <t>SNS</t>
  </si>
  <si>
    <t>アロケーション</t>
  </si>
  <si>
    <t>予算</t>
  </si>
  <si>
    <t>フォロワー単価</t>
  </si>
  <si>
    <t>合計フォロワー数</t>
  </si>
  <si>
    <t>起用人数</t>
  </si>
  <si>
    <t>平均フォロワー数</t>
  </si>
  <si>
    <t>imp率</t>
  </si>
  <si>
    <t>imp数</t>
  </si>
  <si>
    <t>CPM</t>
  </si>
  <si>
    <t>FQ</t>
  </si>
  <si>
    <t>リーチ数</t>
  </si>
  <si>
    <t>美容レビュー</t>
  </si>
  <si>
    <t>美容まとめ投稿</t>
  </si>
  <si>
    <t>配信有</t>
  </si>
  <si>
    <t>美容マス層</t>
  </si>
  <si>
    <t>IG Feed</t>
  </si>
  <si>
    <t>広告配信</t>
  </si>
  <si>
    <t>美容まとめ投稿 / 話題化投稿（AD）</t>
  </si>
  <si>
    <t>ギフティング</t>
  </si>
  <si>
    <t>配信無</t>
  </si>
  <si>
    <t>@cosme</t>
  </si>
  <si>
    <t>合計</t>
  </si>
  <si>
    <t>メモ</t>
  </si>
  <si>
    <t>施策時期</t>
  </si>
  <si>
    <t>施策内容</t>
  </si>
  <si>
    <t>年代別リーチ率＝FW含有率</t>
  </si>
  <si>
    <t>年代別リーチ数</t>
  </si>
  <si>
    <t>来店率</t>
  </si>
  <si>
    <t>来店後購入率</t>
  </si>
  <si>
    <t>単価</t>
  </si>
  <si>
    <t>売上</t>
  </si>
  <si>
    <t>売上個数</t>
  </si>
  <si>
    <t>18-24</t>
  </si>
  <si>
    <t>25-34</t>
  </si>
  <si>
    <t>35-44</t>
  </si>
  <si>
    <t>平均</t>
  </si>
  <si>
    <t>美容フォロワー層</t>
  </si>
  <si>
    <t>MAQUIA（記事タイアップ）</t>
  </si>
  <si>
    <t>美容メディア</t>
  </si>
  <si>
    <t>美的GRAND（記事タイアップ）</t>
  </si>
  <si>
    <t>VOCE（さきめぐタイアップ）</t>
  </si>
  <si>
    <t>VOCE アンプリファイ 配信</t>
  </si>
  <si>
    <t>X</t>
  </si>
  <si>
    <t>勉強会 -&gt; 投稿</t>
  </si>
  <si>
    <t>オフライン</t>
  </si>
  <si>
    <t>8月</t>
  </si>
  <si>
    <t>単品：話題化投稿</t>
  </si>
  <si>
    <t>美容まとめ投稿 / 単品：話題化投稿（AD）</t>
  </si>
  <si>
    <t>IG Reel</t>
  </si>
  <si>
    <t>単品：話題化投稿（AD）</t>
  </si>
  <si>
    <t>単品：ナイトルーティン</t>
  </si>
  <si>
    <t>単品：ナイトルーティン（AD）</t>
  </si>
  <si>
    <t>TikTok</t>
  </si>
  <si>
    <t>　8月 小計</t>
  </si>
  <si>
    <t>9月</t>
  </si>
  <si>
    <t>単品：Qoo10成分訴求</t>
  </si>
  <si>
    <t>まとめ：Qoo10メガ割おすすめ</t>
  </si>
  <si>
    <t>単品：Qoo10成分訴求/
まとめ：Qoo10メガ割おすすめ（AD）</t>
  </si>
  <si>
    <t>まとめ：Qoo10メガ割おすすめ（AD）</t>
  </si>
  <si>
    <t>YouTube</t>
  </si>
  <si>
    <t>単品：Qoo10話題の成分</t>
  </si>
  <si>
    <t>単品：Qoo10話題の成分（AD）</t>
  </si>
  <si>
    <t>単品：KOLピック</t>
  </si>
  <si>
    <t>　9月 小計</t>
  </si>
  <si>
    <t>10月</t>
  </si>
  <si>
    <t>　10月 小計</t>
  </si>
  <si>
    <t>11月</t>
  </si>
  <si>
    <t>ベスコスエンブレム施策（11月獲得時）</t>
  </si>
  <si>
    <t>ベスコスエンブレム施策（第三者配信 &amp; AD）</t>
  </si>
  <si>
    <t>全媒体</t>
  </si>
  <si>
    <t>　11月 小計</t>
  </si>
  <si>
    <t>12月</t>
  </si>
  <si>
    <t>　12月 小計</t>
  </si>
  <si>
    <t>7月</t>
  </si>
  <si>
    <t>情報解禁・先行発売/企画品とサシェ</t>
  </si>
  <si>
    <t>一般販売</t>
  </si>
  <si>
    <t>発売以降</t>
  </si>
  <si>
    <t>W1</t>
  </si>
  <si>
    <t>W2</t>
  </si>
  <si>
    <t>W3</t>
  </si>
  <si>
    <t>W4</t>
  </si>
  <si>
    <t>W1(Qoo10メガ割)</t>
  </si>
  <si>
    <t>商材</t>
  </si>
  <si>
    <t>collagemへの期待値醸成</t>
  </si>
  <si>
    <t>「コラーゲンが髪を保湿し」ことの評判形成</t>
  </si>
  <si>
    <t>日本美容施策</t>
  </si>
  <si>
    <t>ヘアケア賢者勉強会</t>
  </si>
  <si>
    <t>ヘアケア賢者</t>
  </si>
  <si>
    <t>美容開拓層</t>
  </si>
  <si>
    <t>ライフスタイル系</t>
  </si>
  <si>
    <t>美容まとめ系</t>
  </si>
  <si>
    <t>#シャンプー Hack</t>
  </si>
  <si>
    <t>韓国施策</t>
  </si>
  <si>
    <t>韓国メガ（切り抜き用）</t>
  </si>
  <si>
    <t>韓国人</t>
  </si>
  <si>
    <t>PPL共同購入</t>
  </si>
  <si>
    <t>韓コス開拓層</t>
  </si>
  <si>
    <t>Q10：KOLピック</t>
  </si>
  <si>
    <t>韓国好き美容垢（店舗）</t>
  </si>
  <si>
    <t>韓コスフォロワー層</t>
  </si>
  <si>
    <t>切り抜き投稿</t>
  </si>
  <si>
    <t>#メガ割 Hack</t>
  </si>
  <si>
    <t>共感施策</t>
  </si>
  <si>
    <t>あるある系</t>
  </si>
  <si>
    <t>メガ_エンタメ系</t>
  </si>
  <si>
    <t>ミドル_エンタメ系</t>
  </si>
  <si>
    <t>パッケージ系</t>
  </si>
  <si>
    <t>共感イベント</t>
  </si>
  <si>
    <t>マストバイ施策</t>
  </si>
  <si>
    <t>VTuber</t>
  </si>
  <si>
    <t>広告配信（IG feed）</t>
  </si>
  <si>
    <t>広告配信（IG Reel）</t>
  </si>
  <si>
    <t>広告配信（TikTok）</t>
  </si>
  <si>
    <t>2025年3月まで｜イノベーターによるお墨付きの獲得</t>
  </si>
  <si>
    <t>アウトバス</t>
  </si>
  <si>
    <t>美容賢者｜ヒロキ</t>
  </si>
  <si>
    <t>イノベーター</t>
  </si>
  <si>
    <t>美容賢者｜かずのすけ</t>
  </si>
  <si>
    <t>美容賢者｜やみちゃん</t>
  </si>
  <si>
    <t>アーリーアダプター</t>
  </si>
  <si>
    <t>ギフティングCP</t>
  </si>
  <si>
    <t>X / Instagram</t>
  </si>
  <si>
    <t>広告配信（YouTube）</t>
  </si>
  <si>
    <t>広告配信（X）</t>
  </si>
  <si>
    <t>ロフト選考発売のタイミングで、ヘアケアイノベーターを優先度高く起用し、新常識に対して信頼性を与えていく。アーリーアダプター層の美容系からは、ロフトコスフェスをHookにこれから話題になりそうな印象とともに、商品機能をレビューしていただく。</t>
  </si>
  <si>
    <t>全媒体でインフルエンサー投稿を二次利用した広告配信を回すことで、リーチ数を最大化し、新商品の登場を広く認知させていく。</t>
  </si>
  <si>
    <t>2025年4月から6月｜バラエティストア拡大に合わせた認知向上</t>
  </si>
  <si>
    <t>トレンドメーカー系</t>
  </si>
  <si>
    <t>美容レビュー系を引き続き起用。このタイミングは、ロフトのコスフェスで話題になった（売り切れた*）商品であることをHookに、より手に取りやすいバラエティストアに展開されたこととともに、レビューしていただく。</t>
  </si>
  <si>
    <t>また美容レビュー系だけでなく、ライフスタイル系やトレンドメーカー系のインフルエンサーを起用し、ルーティーン系の座組で商品を紹介することで、ヘアケア感度の高い層から始めている新習慣として浸透させていく。</t>
  </si>
  <si>
    <t>2025年7月から9月｜シャントリ発売＋アウトバスマジョリティ拡大</t>
  </si>
  <si>
    <t>シャントリ</t>
  </si>
  <si>
    <t>美容レビューまとめ系</t>
  </si>
  <si>
    <t>アーリーマジョリティ</t>
  </si>
  <si>
    <t>シャントリの発売に合わせて、アウトバス同様にイノベーターを再起用し、ブランド自体のお墨付きを強化していく。アーリーアダプター層からは、『アウトバスで話題になったT/ME Uから〜』などの切り口で投稿指定いただき、これから話題になりそうな印象を与えていく。</t>
  </si>
  <si>
    <t>またこのタイミングでアウトバスはマジョリティ層を狙い、美容レビューでもまとめ系や、より消費者に近いライフスタイル系のインフルエンサーを起用して、口コミを蓄積していく。　　※9月以降はコスフェス投稿</t>
  </si>
  <si>
    <t>2025年10月から12月｜マジョリティ拡大＋セールによる売上向上</t>
  </si>
  <si>
    <t>レイトマジョリティ</t>
  </si>
  <si>
    <t>10月以降はAmazonの"プライム感謝祭"や、"BLACK FRIDAY"など大型セールが開催されるため、Amazon施策と合わせて、インフルエンサーを絡めながら購買数の向上を目指す。シャントリでは『Amazonで買うべき〇〇選』などマジョリティ向けの投稿を中心に投稿を行う。</t>
  </si>
  <si>
    <t>シャントリ、アウトバス共にFeed投稿を増やし、Instagram上でのハッシュタグを占有し、購買手前の比較ファネルでの露出も強化していく</t>
  </si>
  <si>
    <t>2月</t>
  </si>
  <si>
    <t>3月</t>
  </si>
  <si>
    <t>4月</t>
  </si>
  <si>
    <t>5月</t>
  </si>
  <si>
    <t>6月</t>
  </si>
  <si>
    <t>1月</t>
  </si>
  <si>
    <t>目的</t>
  </si>
  <si>
    <t>美容賢者によるお墨付きの獲得</t>
  </si>
  <si>
    <t>流行り物＝話題のキッカケをつくる
※コスフェスHOOK</t>
  </si>
  <si>
    <t>バラエティストア拡大に合わせて、
認知の向上を図る</t>
  </si>
  <si>
    <t>セール訴求→売上増加</t>
  </si>
  <si>
    <t>シャントリに合わせて、
マジョリティに訴求</t>
  </si>
  <si>
    <t>流行り物＝話題のキッカケをつくる
※8月「あのオイルミストから〜シャンプー登場HOOK」
※9月以降「コスフェスHOOK」</t>
  </si>
  <si>
    <t>TG</t>
  </si>
  <si>
    <t>▼シャントリ
イノベーター
▼アウトバス
マジョリティ</t>
  </si>
  <si>
    <t>アーリーアダプター（シャントリ）
アーリーマジョリティ（アウトバス）</t>
  </si>
  <si>
    <t>PDCAを回しながらディスカッション</t>
  </si>
  <si>
    <t>KOLカテゴリー</t>
  </si>
  <si>
    <t>美容賢者</t>
  </si>
  <si>
    <t>美容垢</t>
  </si>
  <si>
    <t>美容垢
ライフスタイル
トレンドリーダー</t>
  </si>
  <si>
    <t>ライフスタイル
トレンドリーダー</t>
  </si>
  <si>
    <t>美容垢（まとめ）
ライフスタイル</t>
  </si>
  <si>
    <t>媒体</t>
  </si>
  <si>
    <t>YouTube
X
TikTok</t>
  </si>
  <si>
    <t>Instagram
TikTok</t>
  </si>
  <si>
    <t xml:space="preserve">YouTube
</t>
  </si>
  <si>
    <t>Instagram（単品+まとめ）
TikTok</t>
  </si>
  <si>
    <t>コスフェス</t>
  </si>
  <si>
    <t>ロフト25ss</t>
  </si>
  <si>
    <t>ロフト25aw</t>
  </si>
  <si>
    <t>ロフト26ss</t>
  </si>
  <si>
    <t>バラエティストア：アウトバス2品</t>
  </si>
  <si>
    <t>マス展開：アウトバス2品</t>
  </si>
  <si>
    <t>クライアント想定</t>
  </si>
  <si>
    <t>マス展開：ストア拡大</t>
  </si>
  <si>
    <t>LOFT：シャントリ先行発売</t>
  </si>
  <si>
    <t>バラエティストア：シャントリ発売</t>
  </si>
  <si>
    <t>オンライン</t>
  </si>
  <si>
    <t>アマゾン</t>
  </si>
  <si>
    <t>prime day（仮）</t>
  </si>
  <si>
    <t>prime感謝祭（仮）</t>
  </si>
  <si>
    <t>BLACK FRIDAY（仮）</t>
  </si>
  <si>
    <t>予算アロケ（未定）</t>
  </si>
  <si>
    <t>KOL予算</t>
  </si>
  <si>
    <t>起用者</t>
  </si>
  <si>
    <t>ファネル</t>
  </si>
  <si>
    <t>チャネル</t>
  </si>
  <si>
    <t>ユニークリーチ数</t>
  </si>
  <si>
    <t>ENG率</t>
  </si>
  <si>
    <t>ENG数</t>
  </si>
  <si>
    <t>CTR</t>
  </si>
  <si>
    <t>Click</t>
  </si>
  <si>
    <t>CVR</t>
  </si>
  <si>
    <t>リタゲ可能ボリューム</t>
  </si>
  <si>
    <t>CV</t>
  </si>
  <si>
    <t>CPA</t>
  </si>
  <si>
    <t>ROAS</t>
  </si>
  <si>
    <t>エニーマインド</t>
  </si>
  <si>
    <t>社内</t>
  </si>
  <si>
    <t>時期を問わず実施を検討</t>
  </si>
  <si>
    <t>●</t>
  </si>
  <si>
    <t>レビュー施策（楽天・Amazon）各150件ずつ</t>
  </si>
  <si>
    <t>最短</t>
  </si>
  <si>
    <t>購入</t>
  </si>
  <si>
    <t>楽天/Amazon</t>
  </si>
  <si>
    <t>美容雑誌バッジ ×2個</t>
  </si>
  <si>
    <t>相談</t>
  </si>
  <si>
    <t>クッションLP制作</t>
  </si>
  <si>
    <t>確認中</t>
  </si>
  <si>
    <t>6月   →実施タイミング</t>
  </si>
  <si>
    <t>目標件数</t>
  </si>
  <si>
    <t>1,850件（EC＞1,650件）</t>
  </si>
  <si>
    <t>施策費予算</t>
  </si>
  <si>
    <t>約3,300万円 ※あくまで目安</t>
  </si>
  <si>
    <t>*獲得施策以外は、あくまで弊社過去施策などからの参照数値です。</t>
  </si>
  <si>
    <t>SNS CPの広告配信：IG・X</t>
  </si>
  <si>
    <t>25年6月</t>
  </si>
  <si>
    <t>認知</t>
  </si>
  <si>
    <t>X/IG</t>
  </si>
  <si>
    <t>ブランドコンテンツの広告配信：IG（リンチーリンWEB CM）</t>
  </si>
  <si>
    <t>Instagram</t>
  </si>
  <si>
    <t>ブランドコンテンツの広告配信：X（リンチーリンWEB CM）</t>
  </si>
  <si>
    <t>ブランドコンテンツの広告配信：YT（リンチーリンWEB CM）</t>
  </si>
  <si>
    <t>ブランドコンテンツの広告配信：TikTok（リンチーリンWEB CM）</t>
  </si>
  <si>
    <t>AI動画を活用した広告配信：IG</t>
  </si>
  <si>
    <t>AI動画を活用した広告配信：TikTok</t>
  </si>
  <si>
    <t>トップインフルエンサー（機能性訴求）：YT（AD）</t>
  </si>
  <si>
    <t>ミドルインフルエンサー（機能性訴求）：IG（AD）</t>
  </si>
  <si>
    <t>ミドルインフルエンサー（機能性訴求）：X（AD）</t>
  </si>
  <si>
    <t>トップインフルエンサー（機能性訴求）：YT *クーポン訴求</t>
  </si>
  <si>
    <t>話題感</t>
  </si>
  <si>
    <t>リン・チーリンさんバズらせ：Ｘ</t>
  </si>
  <si>
    <t>ミドルインフルエンサー（機能性訴求）：IG</t>
  </si>
  <si>
    <t>興味・理解</t>
  </si>
  <si>
    <t>ミドルインフルエンサー（機能性訴求）：X</t>
  </si>
  <si>
    <t>美容系インフルエンサー（#ECKW対策）：IG</t>
  </si>
  <si>
    <t>比較検討</t>
  </si>
  <si>
    <t>記事アフィリエイトタイアップ</t>
  </si>
  <si>
    <t>mybest</t>
  </si>
  <si>
    <t>インフルエンサーアフィリエイト(前半：楽天SS)</t>
  </si>
  <si>
    <t>インフルエンサーアフィリエイト（後半：楽天)</t>
  </si>
  <si>
    <t>AI動画制作（10本）</t>
  </si>
  <si>
    <t>その他</t>
  </si>
  <si>
    <t>予備施策費</t>
  </si>
  <si>
    <t>25-49歳女性</t>
  </si>
  <si>
    <t>モール内施策費 ※割引・ポイント・クーポン費用除く</t>
  </si>
  <si>
    <t>TTL</t>
  </si>
  <si>
    <t>7月   →実施タイミング</t>
  </si>
  <si>
    <t>2,500件</t>
  </si>
  <si>
    <t>約1,700万円</t>
  </si>
  <si>
    <t>25年7月</t>
  </si>
  <si>
    <t>↓↓以下卸向け↓↓</t>
  </si>
  <si>
    <t>インバウンド向けSNS施策</t>
  </si>
  <si>
    <t>RED/IG/TT</t>
  </si>
  <si>
    <t>OOH広告（免税店・都内中心）（リンチーリンWEB CM）</t>
  </si>
  <si>
    <t>交通広告</t>
  </si>
  <si>
    <t>航空広告（リンチーリンWEB CM）</t>
  </si>
  <si>
    <t>ブランドコンテンツの広告配信：IG</t>
  </si>
  <si>
    <t>ブランドコンテンツの広告配信：X</t>
  </si>
  <si>
    <t>ブランドコンテンツの広告配信：YT</t>
  </si>
  <si>
    <t>ブランドコンテンツの広告配信：TikTok</t>
  </si>
  <si>
    <t>トップインフルエンサー（機能性訴求）：YT</t>
  </si>
  <si>
    <t>トップインフルエンサー（ライフスタイルクーポン）：YT</t>
  </si>
  <si>
    <t>トップインフルエンサー（ライフスタイルクーポン）：YT AD</t>
  </si>
  <si>
    <t>美容系美容雑誌タイアップ：X</t>
  </si>
  <si>
    <t>美容雑誌タイアップ：X（AD）</t>
  </si>
  <si>
    <t>美容メディアタイアップ：IG</t>
  </si>
  <si>
    <t>美容メディアタイアップ：IG（AD）</t>
  </si>
  <si>
    <t>トップインフルエンサー（ライフスタイル訴求）：IG</t>
  </si>
  <si>
    <t>トップインフルエンサー（ライフスタイル訴求）：IG（AD）</t>
  </si>
  <si>
    <t>インフルエンサーアフィリエイト</t>
  </si>
  <si>
    <t>ECモール施策</t>
  </si>
  <si>
    <t>楽天 / amazon</t>
  </si>
  <si>
    <t>25年8月</t>
  </si>
  <si>
    <t>25年9月</t>
  </si>
  <si>
    <t>25年10月</t>
  </si>
  <si>
    <t>25年11月</t>
  </si>
  <si>
    <t>25年12月</t>
  </si>
  <si>
    <t>26年1月</t>
  </si>
  <si>
    <t>26年2月</t>
  </si>
  <si>
    <t>26年3月</t>
  </si>
  <si>
    <t>26年4月</t>
  </si>
  <si>
    <t>26年5月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</si>
</sst>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0\)"/>
    <numFmt numFmtId="177" formatCode="[$¥]#,##0"/>
    <numFmt numFmtId="178" formatCode="[$¥]#,##0.0"/>
    <numFmt numFmtId="179" formatCode="0.0"/>
    <numFmt numFmtId="180" formatCode="0.0%"/>
    <numFmt numFmtId="181" formatCode="d\-m&quot;月&quot;"/>
    <numFmt numFmtId="182" formatCode="[$¥-411]#,##0"/>
    <numFmt numFmtId="183" formatCode="#,##0.0"/>
  </numFmts>
  <fonts count="27" x14ac:knownFonts="1">
    <font>
      <sz val="10"/>
      <color rgb="FF000000"/>
      <name val="Arial"/>
      <scheme val="minor"/>
    </font>
    <font>
      <b/>
      <sz val="18"/>
      <color theme="1"/>
      <name val="Arial"/>
      <family val="2"/>
    </font>
    <font>
      <sz val="10"/>
      <color theme="1"/>
      <name val="Arial"/>
      <family val="2"/>
      <scheme val="minor"/>
    </font>
    <font>
      <sz val="10"/>
      <color theme="1"/>
      <name val="Arial"/>
      <family val="2"/>
    </font>
    <font>
      <b/>
      <sz val="10"/>
      <color theme="1"/>
      <name val="Arial"/>
      <family val="2"/>
    </font>
    <font>
      <sz val="10"/>
      <color rgb="FFFF0000"/>
      <name val="Arial"/>
      <family val="2"/>
    </font>
    <font>
      <b/>
      <sz val="10"/>
      <color theme="1"/>
      <name val="Arial"/>
      <family val="2"/>
      <scheme val="minor"/>
    </font>
    <font>
      <b/>
      <sz val="12"/>
      <color theme="1"/>
      <name val="Arial"/>
      <family val="2"/>
      <scheme val="minor"/>
    </font>
    <font>
      <b/>
      <sz val="12"/>
      <color theme="1"/>
      <name val="Arial"/>
      <family val="2"/>
    </font>
    <font>
      <b/>
      <sz val="15"/>
      <color theme="1"/>
      <name val="Arial"/>
      <family val="2"/>
    </font>
    <font>
      <sz val="12"/>
      <color theme="1"/>
      <name val="Arial"/>
      <family val="2"/>
    </font>
    <font>
      <i/>
      <sz val="18"/>
      <color theme="1"/>
      <name val="Arial"/>
      <family val="2"/>
      <scheme val="minor"/>
    </font>
    <font>
      <sz val="10"/>
      <color rgb="FF000000"/>
      <name val="Arial"/>
      <family val="2"/>
    </font>
    <font>
      <sz val="10"/>
      <color rgb="FFFFFFFF"/>
      <name val="Arial"/>
      <family val="2"/>
      <scheme val="minor"/>
    </font>
    <font>
      <sz val="10"/>
      <color rgb="FFFF0000"/>
      <name val="Arial"/>
      <family val="2"/>
      <scheme val="minor"/>
    </font>
    <font>
      <sz val="10"/>
      <color theme="1"/>
      <name val="Arial"/>
      <family val="2"/>
    </font>
    <font>
      <b/>
      <sz val="10"/>
      <color theme="1"/>
      <name val="Arial"/>
      <family val="2"/>
    </font>
    <font>
      <sz val="10"/>
      <color theme="1"/>
      <name val="Arial"/>
      <family val="2"/>
      <scheme val="minor"/>
    </font>
    <font>
      <b/>
      <sz val="5"/>
      <color theme="1"/>
      <name val="Arial"/>
      <family val="2"/>
      <scheme val="minor"/>
    </font>
    <font>
      <b/>
      <sz val="10"/>
      <color theme="1"/>
      <name val="Arial"/>
      <family val="2"/>
      <scheme val="minor"/>
    </font>
    <font>
      <sz val="10"/>
      <color rgb="FFFF0000"/>
      <name val="Arial"/>
      <family val="2"/>
    </font>
    <font>
      <b/>
      <sz val="16"/>
      <color theme="1"/>
      <name val="Arial"/>
      <family val="2"/>
      <scheme val="minor"/>
    </font>
    <font>
      <b/>
      <u/>
      <sz val="10"/>
      <color rgb="FF0000FF"/>
      <name val="Arial"/>
      <family val="2"/>
    </font>
    <font>
      <b/>
      <sz val="10"/>
      <color rgb="FFFF0000"/>
      <name val="Arial"/>
      <family val="2"/>
      <scheme val="minor"/>
    </font>
    <font>
      <b/>
      <sz val="13"/>
      <color rgb="FFFF0000"/>
      <name val="Arial"/>
      <family val="2"/>
      <scheme val="minor"/>
    </font>
    <font>
      <b/>
      <sz val="10"/>
      <color rgb="FFFFFFFF"/>
      <name val="Arial"/>
      <family val="2"/>
    </font>
    <font>
      <sz val="6"/>
      <name val="Arial"/>
      <family val="3"/>
      <charset val="128"/>
      <scheme val="minor"/>
    </font>
  </fonts>
  <fills count="40">
    <fill>
      <patternFill patternType="none"/>
    </fill>
    <fill>
      <patternFill patternType="gray125"/>
    </fill>
    <fill>
      <patternFill patternType="solid">
        <fgColor rgb="FFCFE2F3"/>
        <bgColor rgb="FFCFE2F3"/>
      </patternFill>
    </fill>
    <fill>
      <patternFill patternType="solid">
        <fgColor rgb="FFE3F4EB"/>
        <bgColor rgb="FFE3F4EB"/>
      </patternFill>
    </fill>
    <fill>
      <patternFill patternType="solid">
        <fgColor rgb="FFF1BAB5"/>
        <bgColor rgb="FFF1BAB5"/>
      </patternFill>
    </fill>
    <fill>
      <patternFill patternType="solid">
        <fgColor rgb="FFB7B7B7"/>
        <bgColor rgb="FFB7B7B7"/>
      </patternFill>
    </fill>
    <fill>
      <patternFill patternType="solid">
        <fgColor rgb="FFFFF2CC"/>
        <bgColor rgb="FFFFF2CC"/>
      </patternFill>
    </fill>
    <fill>
      <patternFill patternType="solid">
        <fgColor rgb="FFF9CB9C"/>
        <bgColor rgb="FFF9CB9C"/>
      </patternFill>
    </fill>
    <fill>
      <patternFill patternType="solid">
        <fgColor rgb="FFB7E1CD"/>
        <bgColor rgb="FFB7E1CD"/>
      </patternFill>
    </fill>
    <fill>
      <patternFill patternType="solid">
        <fgColor rgb="FFA4C2F4"/>
        <bgColor rgb="FFA4C2F4"/>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FCE5CD"/>
        <bgColor rgb="FFFCE5CD"/>
      </patternFill>
    </fill>
    <fill>
      <patternFill patternType="solid">
        <fgColor rgb="FFEBF7F1"/>
        <bgColor rgb="FFEBF7F1"/>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F8DEDC"/>
        <bgColor rgb="FFF8DEDC"/>
      </patternFill>
    </fill>
    <fill>
      <patternFill patternType="solid">
        <fgColor rgb="FFDEF2E8"/>
        <bgColor rgb="FFDEF2E8"/>
      </patternFill>
    </fill>
    <fill>
      <patternFill patternType="solid">
        <fgColor rgb="FFF3F3F3"/>
        <bgColor rgb="FFF3F3F3"/>
      </patternFill>
    </fill>
    <fill>
      <patternFill patternType="solid">
        <fgColor rgb="FFEC9C96"/>
        <bgColor rgb="FFEC9C96"/>
      </patternFill>
    </fill>
    <fill>
      <patternFill patternType="solid">
        <fgColor rgb="FFE98C84"/>
        <bgColor rgb="FFE98C84"/>
      </patternFill>
    </fill>
    <fill>
      <patternFill patternType="solid">
        <fgColor rgb="FFE67C73"/>
        <bgColor rgb="FFE67C73"/>
      </patternFill>
    </fill>
    <fill>
      <patternFill patternType="solid">
        <fgColor rgb="FFDBF1E6"/>
        <bgColor rgb="FFDBF1E6"/>
      </patternFill>
    </fill>
    <fill>
      <patternFill patternType="solid">
        <fgColor rgb="FF57BB8A"/>
        <bgColor rgb="FF57BB8A"/>
      </patternFill>
    </fill>
    <fill>
      <patternFill patternType="solid">
        <fgColor rgb="FFFFEDBC"/>
        <bgColor rgb="FFFFEDBC"/>
      </patternFill>
    </fill>
    <fill>
      <patternFill patternType="solid">
        <fgColor rgb="FFFFD666"/>
        <bgColor rgb="FFFFD666"/>
      </patternFill>
    </fill>
    <fill>
      <patternFill patternType="solid">
        <fgColor rgb="FF73C79E"/>
        <bgColor rgb="FF73C79E"/>
      </patternFill>
    </fill>
    <fill>
      <patternFill patternType="solid">
        <fgColor rgb="FFABDDC5"/>
        <bgColor rgb="FFABDDC5"/>
      </patternFill>
    </fill>
    <fill>
      <patternFill patternType="solid">
        <fgColor rgb="FFD9F0E4"/>
        <bgColor rgb="FFD9F0E4"/>
      </patternFill>
    </fill>
    <fill>
      <patternFill patternType="solid">
        <fgColor rgb="FFEFEFEF"/>
        <bgColor rgb="FFEFEFEF"/>
      </patternFill>
    </fill>
    <fill>
      <patternFill patternType="solid">
        <fgColor rgb="FF93C47D"/>
        <bgColor rgb="FF93C47D"/>
      </patternFill>
    </fill>
    <fill>
      <patternFill patternType="solid">
        <fgColor rgb="FF6AA84F"/>
        <bgColor rgb="FF6AA84F"/>
      </patternFill>
    </fill>
    <fill>
      <patternFill patternType="solid">
        <fgColor rgb="FF9FC5E8"/>
        <bgColor rgb="FF9FC5E8"/>
      </patternFill>
    </fill>
    <fill>
      <patternFill patternType="solid">
        <fgColor rgb="FFFFFF00"/>
        <bgColor rgb="FFFFFF00"/>
      </patternFill>
    </fill>
    <fill>
      <patternFill patternType="solid">
        <fgColor rgb="FFD9D2E9"/>
        <bgColor rgb="FFD9D2E9"/>
      </patternFill>
    </fill>
    <fill>
      <patternFill patternType="solid">
        <fgColor rgb="FFEAD1DC"/>
        <bgColor rgb="FFEAD1DC"/>
      </patternFill>
    </fill>
    <fill>
      <patternFill patternType="solid">
        <fgColor rgb="FF999999"/>
        <bgColor rgb="FF999999"/>
      </patternFill>
    </fill>
  </fills>
  <borders count="42">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D9D9D9"/>
      </left>
      <right style="thin">
        <color rgb="FFD9D9D9"/>
      </right>
      <top style="thin">
        <color rgb="FFD9D9D9"/>
      </top>
      <bottom style="thin">
        <color rgb="FFD9D9D9"/>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top style="thin">
        <color rgb="FFD9D9D9"/>
      </top>
      <bottom style="thin">
        <color rgb="FFD9D9D9"/>
      </bottom>
      <diagonal/>
    </border>
    <border>
      <left/>
      <right/>
      <top/>
      <bottom style="thin">
        <color rgb="FFF3F3F3"/>
      </bottom>
      <diagonal/>
    </border>
    <border>
      <left/>
      <right/>
      <top style="thin">
        <color rgb="FFF3F3F3"/>
      </top>
      <bottom style="thin">
        <color rgb="FFF3F3F3"/>
      </bottom>
      <diagonal/>
    </border>
    <border>
      <left/>
      <right/>
      <top style="thin">
        <color rgb="FFF3F3F3"/>
      </top>
      <bottom/>
      <diagonal/>
    </border>
    <border>
      <left/>
      <right style="thin">
        <color rgb="FFB7B7B7"/>
      </right>
      <top/>
      <bottom style="thin">
        <color rgb="FFF3F3F3"/>
      </bottom>
      <diagonal/>
    </border>
    <border>
      <left style="thin">
        <color rgb="FFB7B7B7"/>
      </left>
      <right/>
      <top/>
      <bottom style="thin">
        <color rgb="FFF3F3F3"/>
      </bottom>
      <diagonal/>
    </border>
    <border>
      <left/>
      <right/>
      <top/>
      <bottom style="double">
        <color rgb="FF000000"/>
      </bottom>
      <diagonal/>
    </border>
    <border>
      <left style="thin">
        <color rgb="FFB7B7B7"/>
      </left>
      <right style="thin">
        <color rgb="FFB7B7B7"/>
      </right>
      <top/>
      <bottom style="thin">
        <color rgb="FFF3F3F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tted">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dotted">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dotted">
        <color rgb="FF000000"/>
      </right>
      <top/>
      <bottom style="thin">
        <color rgb="FF000000"/>
      </bottom>
      <diagonal/>
    </border>
    <border>
      <left/>
      <right/>
      <top/>
      <bottom style="thin">
        <color rgb="FF000000"/>
      </bottom>
      <diagonal/>
    </border>
    <border>
      <left/>
      <right style="dotted">
        <color rgb="FF000000"/>
      </right>
      <top/>
      <bottom/>
      <diagonal/>
    </border>
    <border>
      <left/>
      <right style="dotted">
        <color rgb="FF000000"/>
      </right>
      <top style="thin">
        <color rgb="FF000000"/>
      </top>
      <bottom/>
      <diagonal/>
    </border>
    <border>
      <left style="thin">
        <color rgb="FF000000"/>
      </left>
      <right style="thin">
        <color rgb="FF000000"/>
      </right>
      <top/>
      <bottom/>
      <diagonal/>
    </border>
    <border>
      <left/>
      <right style="dotted">
        <color rgb="FF000000"/>
      </right>
      <top/>
      <bottom style="thin">
        <color rgb="FF000000"/>
      </bottom>
      <diagonal/>
    </border>
    <border>
      <left/>
      <right style="dotted">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right/>
      <top style="double">
        <color rgb="FF000000"/>
      </top>
      <bottom/>
      <diagonal/>
    </border>
    <border>
      <left/>
      <right style="thin">
        <color rgb="FF000000"/>
      </right>
      <top style="thin">
        <color rgb="FF999999"/>
      </top>
      <bottom style="thin">
        <color rgb="FF000000"/>
      </bottom>
      <diagonal/>
    </border>
    <border>
      <left/>
      <right/>
      <top style="thin">
        <color rgb="FF999999"/>
      </top>
      <bottom/>
      <diagonal/>
    </border>
    <border>
      <left style="thin">
        <color rgb="FF000000"/>
      </left>
      <right style="thin">
        <color rgb="FF000000"/>
      </right>
      <top style="thin">
        <color rgb="FF999999"/>
      </top>
      <bottom style="thin">
        <color rgb="FF000000"/>
      </bottom>
      <diagonal/>
    </border>
    <border>
      <left/>
      <right/>
      <top style="thin">
        <color rgb="FFEFEFEF"/>
      </top>
      <bottom/>
      <diagonal/>
    </border>
  </borders>
  <cellStyleXfs count="1">
    <xf numFmtId="0" fontId="0" fillId="0" borderId="0"/>
  </cellStyleXfs>
  <cellXfs count="434">
    <xf numFmtId="0" fontId="0" fillId="0" borderId="0" xfId="0"/>
    <xf numFmtId="176" fontId="1" fillId="2" borderId="1" xfId="0" applyNumberFormat="1" applyFont="1" applyFill="1" applyBorder="1" applyAlignment="1">
      <alignment horizontal="left"/>
    </xf>
    <xf numFmtId="0" fontId="2" fillId="2" borderId="0" xfId="0" applyFont="1" applyFill="1"/>
    <xf numFmtId="176" fontId="3" fillId="0" borderId="0" xfId="0" applyNumberFormat="1" applyFont="1" applyAlignment="1">
      <alignment horizontal="right"/>
    </xf>
    <xf numFmtId="0" fontId="4" fillId="3" borderId="2" xfId="0" applyFont="1" applyFill="1" applyBorder="1"/>
    <xf numFmtId="0" fontId="4" fillId="3" borderId="1" xfId="0" applyFont="1" applyFill="1" applyBorder="1"/>
    <xf numFmtId="0" fontId="3" fillId="0" borderId="3" xfId="0" applyFont="1" applyBorder="1"/>
    <xf numFmtId="0" fontId="3" fillId="0" borderId="1" xfId="0" applyFont="1" applyBorder="1"/>
    <xf numFmtId="177" fontId="3" fillId="0" borderId="1" xfId="0" applyNumberFormat="1" applyFont="1" applyBorder="1" applyAlignment="1">
      <alignment horizontal="right"/>
    </xf>
    <xf numFmtId="176" fontId="3" fillId="0" borderId="1" xfId="0" applyNumberFormat="1" applyFont="1" applyBorder="1" applyAlignment="1">
      <alignment horizontal="right"/>
    </xf>
    <xf numFmtId="0" fontId="2" fillId="0" borderId="0" xfId="0" applyFont="1"/>
    <xf numFmtId="0" fontId="3" fillId="6" borderId="5" xfId="0" applyFont="1" applyFill="1" applyBorder="1"/>
    <xf numFmtId="0" fontId="3" fillId="6" borderId="1" xfId="0" applyFont="1" applyFill="1" applyBorder="1"/>
    <xf numFmtId="180" fontId="3" fillId="6" borderId="1" xfId="0" applyNumberFormat="1" applyFont="1" applyFill="1" applyBorder="1" applyAlignment="1">
      <alignment horizontal="right"/>
    </xf>
    <xf numFmtId="177" fontId="5" fillId="6" borderId="1" xfId="0" applyNumberFormat="1" applyFont="1" applyFill="1" applyBorder="1" applyAlignment="1">
      <alignment horizontal="right"/>
    </xf>
    <xf numFmtId="176" fontId="3" fillId="6" borderId="1" xfId="0" applyNumberFormat="1" applyFont="1" applyFill="1" applyBorder="1" applyAlignment="1">
      <alignment horizontal="right"/>
    </xf>
    <xf numFmtId="0" fontId="3" fillId="0" borderId="0" xfId="0" applyFont="1"/>
    <xf numFmtId="180" fontId="3" fillId="0" borderId="0" xfId="0" applyNumberFormat="1" applyFont="1" applyAlignment="1">
      <alignment horizontal="right"/>
    </xf>
    <xf numFmtId="177" fontId="3" fillId="0" borderId="0" xfId="0" applyNumberFormat="1" applyFont="1" applyAlignment="1">
      <alignment horizontal="right"/>
    </xf>
    <xf numFmtId="0" fontId="3" fillId="0" borderId="6" xfId="0" applyFont="1" applyBorder="1"/>
    <xf numFmtId="0" fontId="3" fillId="0" borderId="0" xfId="0" applyFont="1" applyAlignment="1">
      <alignment wrapText="1"/>
    </xf>
    <xf numFmtId="0" fontId="4" fillId="3" borderId="0" xfId="0" applyFont="1" applyFill="1" applyAlignment="1">
      <alignment wrapText="1"/>
    </xf>
    <xf numFmtId="0" fontId="4" fillId="3" borderId="0" xfId="0" applyFont="1" applyFill="1" applyAlignment="1">
      <alignment horizontal="center" wrapText="1"/>
    </xf>
    <xf numFmtId="179" fontId="4" fillId="3" borderId="0" xfId="0" applyNumberFormat="1" applyFont="1" applyFill="1" applyAlignment="1">
      <alignment wrapText="1"/>
    </xf>
    <xf numFmtId="0" fontId="4" fillId="7" borderId="0" xfId="0" applyFont="1" applyFill="1" applyAlignment="1">
      <alignment wrapText="1"/>
    </xf>
    <xf numFmtId="0" fontId="4" fillId="8" borderId="0" xfId="0" applyFont="1" applyFill="1" applyAlignment="1">
      <alignment wrapText="1"/>
    </xf>
    <xf numFmtId="0" fontId="4" fillId="9" borderId="0" xfId="0" applyFont="1" applyFill="1" applyAlignment="1">
      <alignment wrapText="1"/>
    </xf>
    <xf numFmtId="0" fontId="4" fillId="10" borderId="0" xfId="0" applyFont="1" applyFill="1" applyAlignment="1">
      <alignment wrapText="1"/>
    </xf>
    <xf numFmtId="0" fontId="4" fillId="11" borderId="0" xfId="0" applyFont="1" applyFill="1" applyAlignment="1">
      <alignment horizontal="center" wrapText="1"/>
    </xf>
    <xf numFmtId="0" fontId="6" fillId="12" borderId="0" xfId="0" applyFont="1" applyFill="1" applyAlignment="1">
      <alignment horizontal="center" wrapText="1"/>
    </xf>
    <xf numFmtId="0" fontId="2" fillId="12" borderId="0" xfId="0" applyFont="1" applyFill="1" applyAlignment="1">
      <alignment horizontal="center" wrapText="1"/>
    </xf>
    <xf numFmtId="179" fontId="2" fillId="0" borderId="0" xfId="0" applyNumberFormat="1" applyFont="1"/>
    <xf numFmtId="0" fontId="2" fillId="13" borderId="0" xfId="0" applyFont="1" applyFill="1"/>
    <xf numFmtId="0" fontId="2" fillId="14" borderId="0" xfId="0" applyFont="1" applyFill="1"/>
    <xf numFmtId="0" fontId="2" fillId="15" borderId="0" xfId="0" applyFont="1" applyFill="1" applyAlignment="1">
      <alignment horizontal="left"/>
    </xf>
    <xf numFmtId="0" fontId="2" fillId="15" borderId="0" xfId="0" applyFont="1" applyFill="1" applyAlignment="1">
      <alignment horizontal="center"/>
    </xf>
    <xf numFmtId="0" fontId="2" fillId="16" borderId="0" xfId="0" applyFont="1" applyFill="1" applyAlignment="1">
      <alignment horizontal="left"/>
    </xf>
    <xf numFmtId="0" fontId="2" fillId="16" borderId="0" xfId="0" applyFont="1" applyFill="1" applyAlignment="1">
      <alignment horizontal="center"/>
    </xf>
    <xf numFmtId="177" fontId="2" fillId="6" borderId="0" xfId="0" applyNumberFormat="1" applyFont="1" applyFill="1" applyAlignment="1">
      <alignment horizontal="center"/>
    </xf>
    <xf numFmtId="0" fontId="2" fillId="17" borderId="0" xfId="0" applyFont="1" applyFill="1" applyAlignment="1">
      <alignment horizontal="center"/>
    </xf>
    <xf numFmtId="0" fontId="3" fillId="0" borderId="7" xfId="0" applyFont="1" applyBorder="1"/>
    <xf numFmtId="181" fontId="3" fillId="0" borderId="7" xfId="0" applyNumberFormat="1" applyFont="1" applyBorder="1" applyAlignment="1">
      <alignment horizontal="center"/>
    </xf>
    <xf numFmtId="10" fontId="3" fillId="18" borderId="7" xfId="0" applyNumberFormat="1" applyFont="1" applyFill="1" applyBorder="1" applyAlignment="1">
      <alignment horizontal="right"/>
    </xf>
    <xf numFmtId="177" fontId="3" fillId="0" borderId="7" xfId="0" applyNumberFormat="1" applyFont="1" applyBorder="1" applyAlignment="1">
      <alignment horizontal="right"/>
    </xf>
    <xf numFmtId="0" fontId="3" fillId="5" borderId="8" xfId="0" applyFont="1" applyFill="1" applyBorder="1"/>
    <xf numFmtId="176" fontId="3" fillId="0" borderId="7" xfId="0" applyNumberFormat="1" applyFont="1" applyBorder="1" applyAlignment="1">
      <alignment horizontal="right"/>
    </xf>
    <xf numFmtId="179" fontId="3" fillId="0" borderId="7" xfId="0" applyNumberFormat="1" applyFont="1" applyBorder="1" applyAlignment="1">
      <alignment horizontal="right"/>
    </xf>
    <xf numFmtId="176" fontId="3" fillId="0" borderId="8" xfId="0" applyNumberFormat="1" applyFont="1" applyBorder="1"/>
    <xf numFmtId="9" fontId="3" fillId="0" borderId="7" xfId="0" applyNumberFormat="1" applyFont="1" applyBorder="1"/>
    <xf numFmtId="176" fontId="3" fillId="0" borderId="7" xfId="0" applyNumberFormat="1" applyFont="1" applyBorder="1"/>
    <xf numFmtId="10" fontId="3" fillId="0" borderId="7" xfId="0" applyNumberFormat="1" applyFont="1" applyBorder="1"/>
    <xf numFmtId="10" fontId="2" fillId="0" borderId="7" xfId="0" applyNumberFormat="1" applyFont="1" applyBorder="1"/>
    <xf numFmtId="9" fontId="3" fillId="0" borderId="9" xfId="0" applyNumberFormat="1" applyFont="1" applyBorder="1"/>
    <xf numFmtId="177" fontId="3" fillId="0" borderId="7" xfId="0" applyNumberFormat="1" applyFont="1" applyBorder="1"/>
    <xf numFmtId="0" fontId="3" fillId="0" borderId="8" xfId="0" applyFont="1" applyBorder="1"/>
    <xf numFmtId="181" fontId="3" fillId="0" borderId="8" xfId="0" applyNumberFormat="1" applyFont="1" applyBorder="1" applyAlignment="1">
      <alignment horizontal="center"/>
    </xf>
    <xf numFmtId="10" fontId="3" fillId="18" borderId="8" xfId="0" applyNumberFormat="1" applyFont="1" applyFill="1" applyBorder="1" applyAlignment="1">
      <alignment horizontal="right"/>
    </xf>
    <xf numFmtId="177" fontId="3" fillId="0" borderId="8" xfId="0" applyNumberFormat="1" applyFont="1" applyBorder="1" applyAlignment="1">
      <alignment horizontal="right"/>
    </xf>
    <xf numFmtId="9" fontId="3" fillId="0" borderId="8" xfId="0" applyNumberFormat="1" applyFont="1" applyBorder="1"/>
    <xf numFmtId="176" fontId="3" fillId="0" borderId="8" xfId="0" applyNumberFormat="1" applyFont="1" applyBorder="1" applyAlignment="1">
      <alignment horizontal="right"/>
    </xf>
    <xf numFmtId="179" fontId="3" fillId="0" borderId="8" xfId="0" applyNumberFormat="1" applyFont="1" applyBorder="1" applyAlignment="1">
      <alignment horizontal="right"/>
    </xf>
    <xf numFmtId="10" fontId="3" fillId="14" borderId="8" xfId="0" applyNumberFormat="1" applyFont="1" applyFill="1" applyBorder="1" applyAlignment="1">
      <alignment horizontal="right"/>
    </xf>
    <xf numFmtId="0" fontId="3" fillId="0" borderId="9" xfId="0" applyFont="1" applyBorder="1"/>
    <xf numFmtId="181" fontId="3" fillId="0" borderId="9" xfId="0" applyNumberFormat="1" applyFont="1" applyBorder="1" applyAlignment="1">
      <alignment horizontal="center"/>
    </xf>
    <xf numFmtId="10" fontId="3" fillId="18" borderId="9" xfId="0" applyNumberFormat="1" applyFont="1" applyFill="1" applyBorder="1" applyAlignment="1">
      <alignment horizontal="right"/>
    </xf>
    <xf numFmtId="177" fontId="3" fillId="0" borderId="9" xfId="0" applyNumberFormat="1" applyFont="1" applyBorder="1" applyAlignment="1">
      <alignment horizontal="right"/>
    </xf>
    <xf numFmtId="0" fontId="3" fillId="5" borderId="9" xfId="0" applyFont="1" applyFill="1" applyBorder="1"/>
    <xf numFmtId="179" fontId="3" fillId="5" borderId="9" xfId="0" applyNumberFormat="1" applyFont="1" applyFill="1" applyBorder="1"/>
    <xf numFmtId="0" fontId="3" fillId="0" borderId="7" xfId="0" applyFont="1" applyBorder="1" applyAlignment="1">
      <alignment horizontal="center"/>
    </xf>
    <xf numFmtId="0" fontId="3" fillId="0" borderId="10" xfId="0" applyFont="1" applyBorder="1"/>
    <xf numFmtId="0" fontId="3" fillId="0" borderId="11" xfId="0" applyFont="1" applyBorder="1"/>
    <xf numFmtId="10" fontId="3" fillId="19" borderId="0" xfId="0" applyNumberFormat="1" applyFont="1" applyFill="1" applyAlignment="1">
      <alignment horizontal="right"/>
    </xf>
    <xf numFmtId="178" fontId="3" fillId="0" borderId="7" xfId="0" applyNumberFormat="1" applyFont="1" applyBorder="1" applyAlignment="1">
      <alignment horizontal="right"/>
    </xf>
    <xf numFmtId="9" fontId="3" fillId="0" borderId="7" xfId="0" applyNumberFormat="1" applyFont="1" applyBorder="1" applyAlignment="1">
      <alignment horizontal="right"/>
    </xf>
    <xf numFmtId="10" fontId="3" fillId="19" borderId="7" xfId="0" applyNumberFormat="1" applyFont="1" applyFill="1" applyBorder="1" applyAlignment="1">
      <alignment horizontal="right"/>
    </xf>
    <xf numFmtId="0" fontId="3" fillId="0" borderId="8" xfId="0" applyFont="1" applyBorder="1" applyAlignment="1">
      <alignment horizontal="center"/>
    </xf>
    <xf numFmtId="10" fontId="3" fillId="20" borderId="8" xfId="0" applyNumberFormat="1" applyFont="1" applyFill="1" applyBorder="1" applyAlignment="1">
      <alignment horizontal="right"/>
    </xf>
    <xf numFmtId="10" fontId="3" fillId="0" borderId="8" xfId="0" applyNumberFormat="1" applyFont="1" applyBorder="1"/>
    <xf numFmtId="177" fontId="3" fillId="0" borderId="8" xfId="0" applyNumberFormat="1" applyFont="1" applyBorder="1"/>
    <xf numFmtId="178" fontId="3" fillId="0" borderId="8" xfId="0" applyNumberFormat="1" applyFont="1" applyBorder="1" applyAlignment="1">
      <alignment horizontal="right"/>
    </xf>
    <xf numFmtId="9" fontId="3" fillId="0" borderId="8" xfId="0" applyNumberFormat="1" applyFont="1" applyBorder="1" applyAlignment="1">
      <alignment horizontal="right"/>
    </xf>
    <xf numFmtId="9" fontId="2" fillId="0" borderId="8" xfId="0" applyNumberFormat="1" applyFont="1" applyBorder="1"/>
    <xf numFmtId="0" fontId="3" fillId="0" borderId="9" xfId="0" applyFont="1" applyBorder="1" applyAlignment="1">
      <alignment horizontal="center"/>
    </xf>
    <xf numFmtId="176" fontId="3" fillId="0" borderId="9" xfId="0" applyNumberFormat="1" applyFont="1" applyBorder="1" applyAlignment="1">
      <alignment horizontal="right"/>
    </xf>
    <xf numFmtId="179" fontId="3" fillId="0" borderId="9" xfId="0" applyNumberFormat="1" applyFont="1" applyBorder="1" applyAlignment="1">
      <alignment horizontal="right"/>
    </xf>
    <xf numFmtId="176" fontId="3" fillId="0" borderId="9" xfId="0" applyNumberFormat="1" applyFont="1" applyBorder="1"/>
    <xf numFmtId="10" fontId="3" fillId="0" borderId="9" xfId="0" applyNumberFormat="1" applyFont="1" applyBorder="1"/>
    <xf numFmtId="177" fontId="3" fillId="0" borderId="9" xfId="0" applyNumberFormat="1" applyFont="1" applyBorder="1"/>
    <xf numFmtId="0" fontId="3" fillId="5" borderId="0" xfId="0" applyFont="1" applyFill="1"/>
    <xf numFmtId="0" fontId="6" fillId="21" borderId="12" xfId="0" applyFont="1" applyFill="1" applyBorder="1"/>
    <xf numFmtId="0" fontId="2" fillId="21" borderId="12" xfId="0" applyFont="1" applyFill="1" applyBorder="1"/>
    <xf numFmtId="10" fontId="2" fillId="21" borderId="12" xfId="0" applyNumberFormat="1" applyFont="1" applyFill="1" applyBorder="1"/>
    <xf numFmtId="177" fontId="7" fillId="21" borderId="12" xfId="0" applyNumberFormat="1" applyFont="1" applyFill="1" applyBorder="1"/>
    <xf numFmtId="176" fontId="7" fillId="21" borderId="12" xfId="0" applyNumberFormat="1" applyFont="1" applyFill="1" applyBorder="1"/>
    <xf numFmtId="177" fontId="2" fillId="21" borderId="12" xfId="0" applyNumberFormat="1" applyFont="1" applyFill="1" applyBorder="1"/>
    <xf numFmtId="179" fontId="2" fillId="21" borderId="12" xfId="0" applyNumberFormat="1" applyFont="1" applyFill="1" applyBorder="1"/>
    <xf numFmtId="9" fontId="2" fillId="21" borderId="12" xfId="0" applyNumberFormat="1" applyFont="1" applyFill="1" applyBorder="1"/>
    <xf numFmtId="10" fontId="7" fillId="21" borderId="12" xfId="0" applyNumberFormat="1" applyFont="1" applyFill="1" applyBorder="1"/>
    <xf numFmtId="0" fontId="3" fillId="0" borderId="13" xfId="0" applyFont="1" applyBorder="1"/>
    <xf numFmtId="10" fontId="3" fillId="22" borderId="13" xfId="0" applyNumberFormat="1" applyFont="1" applyFill="1" applyBorder="1" applyAlignment="1">
      <alignment horizontal="right"/>
    </xf>
    <xf numFmtId="177" fontId="3" fillId="0" borderId="11" xfId="0" applyNumberFormat="1" applyFont="1" applyBorder="1" applyAlignment="1">
      <alignment horizontal="right"/>
    </xf>
    <xf numFmtId="10" fontId="3" fillId="22" borderId="7" xfId="0" applyNumberFormat="1" applyFont="1" applyFill="1" applyBorder="1" applyAlignment="1">
      <alignment horizontal="right"/>
    </xf>
    <xf numFmtId="10" fontId="3" fillId="23" borderId="8" xfId="0" applyNumberFormat="1" applyFont="1" applyFill="1" applyBorder="1" applyAlignment="1">
      <alignment horizontal="right"/>
    </xf>
    <xf numFmtId="179" fontId="3" fillId="0" borderId="8" xfId="0" applyNumberFormat="1" applyFont="1" applyBorder="1"/>
    <xf numFmtId="10" fontId="3" fillId="22" borderId="8" xfId="0" applyNumberFormat="1" applyFont="1" applyFill="1" applyBorder="1" applyAlignment="1">
      <alignment horizontal="right"/>
    </xf>
    <xf numFmtId="10" fontId="3" fillId="24" borderId="8" xfId="0" applyNumberFormat="1" applyFont="1" applyFill="1" applyBorder="1" applyAlignment="1">
      <alignment horizontal="right"/>
    </xf>
    <xf numFmtId="10" fontId="3" fillId="19" borderId="8" xfId="0" applyNumberFormat="1" applyFont="1" applyFill="1" applyBorder="1" applyAlignment="1">
      <alignment horizontal="right"/>
    </xf>
    <xf numFmtId="10" fontId="3" fillId="25" borderId="9" xfId="0" applyNumberFormat="1" applyFont="1" applyFill="1" applyBorder="1" applyAlignment="1">
      <alignment horizontal="right"/>
    </xf>
    <xf numFmtId="178" fontId="3" fillId="0" borderId="9" xfId="0" applyNumberFormat="1" applyFont="1" applyBorder="1" applyAlignment="1">
      <alignment horizontal="right"/>
    </xf>
    <xf numFmtId="9" fontId="3" fillId="0" borderId="9" xfId="0" applyNumberFormat="1" applyFont="1" applyBorder="1" applyAlignment="1">
      <alignment horizontal="right"/>
    </xf>
    <xf numFmtId="178" fontId="2" fillId="21" borderId="12" xfId="0" applyNumberFormat="1" applyFont="1" applyFill="1" applyBorder="1"/>
    <xf numFmtId="176" fontId="2" fillId="21" borderId="12" xfId="0" applyNumberFormat="1" applyFont="1" applyFill="1" applyBorder="1"/>
    <xf numFmtId="10" fontId="3" fillId="26" borderId="7" xfId="0" applyNumberFormat="1" applyFont="1" applyFill="1" applyBorder="1" applyAlignment="1">
      <alignment horizontal="right"/>
    </xf>
    <xf numFmtId="10" fontId="3" fillId="26" borderId="8" xfId="0" applyNumberFormat="1" applyFont="1" applyFill="1" applyBorder="1" applyAlignment="1">
      <alignment horizontal="right"/>
    </xf>
    <xf numFmtId="10" fontId="3" fillId="26" borderId="9" xfId="0" applyNumberFormat="1" applyFont="1" applyFill="1" applyBorder="1" applyAlignment="1">
      <alignment horizontal="right"/>
    </xf>
    <xf numFmtId="0" fontId="4" fillId="21" borderId="12" xfId="0" applyFont="1" applyFill="1" applyBorder="1"/>
    <xf numFmtId="0" fontId="3" fillId="21" borderId="12" xfId="0" applyFont="1" applyFill="1" applyBorder="1"/>
    <xf numFmtId="10" fontId="3" fillId="21" borderId="12" xfId="0" applyNumberFormat="1" applyFont="1" applyFill="1" applyBorder="1"/>
    <xf numFmtId="177" fontId="8" fillId="21" borderId="12" xfId="0" applyNumberFormat="1" applyFont="1" applyFill="1" applyBorder="1" applyAlignment="1">
      <alignment horizontal="right"/>
    </xf>
    <xf numFmtId="176" fontId="3" fillId="21" borderId="12" xfId="0" applyNumberFormat="1" applyFont="1" applyFill="1" applyBorder="1"/>
    <xf numFmtId="176" fontId="8" fillId="21" borderId="12" xfId="0" applyNumberFormat="1" applyFont="1" applyFill="1" applyBorder="1" applyAlignment="1">
      <alignment horizontal="right"/>
    </xf>
    <xf numFmtId="177" fontId="3" fillId="21" borderId="12" xfId="0" applyNumberFormat="1" applyFont="1" applyFill="1" applyBorder="1"/>
    <xf numFmtId="177" fontId="3" fillId="0" borderId="0" xfId="0" applyNumberFormat="1" applyFont="1"/>
    <xf numFmtId="176" fontId="3" fillId="5" borderId="9" xfId="0" applyNumberFormat="1" applyFont="1" applyFill="1" applyBorder="1"/>
    <xf numFmtId="176" fontId="3" fillId="26" borderId="9" xfId="0" applyNumberFormat="1" applyFont="1" applyFill="1" applyBorder="1" applyAlignment="1">
      <alignment horizontal="right"/>
    </xf>
    <xf numFmtId="9" fontId="3" fillId="27" borderId="9" xfId="0" applyNumberFormat="1" applyFont="1" applyFill="1" applyBorder="1" applyAlignment="1">
      <alignment horizontal="right"/>
    </xf>
    <xf numFmtId="176" fontId="3" fillId="24" borderId="9" xfId="0" applyNumberFormat="1" applyFont="1" applyFill="1" applyBorder="1" applyAlignment="1">
      <alignment horizontal="right"/>
    </xf>
    <xf numFmtId="10" fontId="3" fillId="28" borderId="9" xfId="0" applyNumberFormat="1" applyFont="1" applyFill="1" applyBorder="1" applyAlignment="1">
      <alignment horizontal="right"/>
    </xf>
    <xf numFmtId="10" fontId="3" fillId="29" borderId="7" xfId="0" applyNumberFormat="1" applyFont="1" applyFill="1" applyBorder="1" applyAlignment="1">
      <alignment horizontal="right"/>
    </xf>
    <xf numFmtId="10" fontId="3" fillId="30" borderId="7" xfId="0" applyNumberFormat="1" applyFont="1" applyFill="1" applyBorder="1" applyAlignment="1">
      <alignment horizontal="right"/>
    </xf>
    <xf numFmtId="9" fontId="3" fillId="24" borderId="9" xfId="0" applyNumberFormat="1" applyFont="1" applyFill="1" applyBorder="1" applyAlignment="1">
      <alignment horizontal="right"/>
    </xf>
    <xf numFmtId="9" fontId="3" fillId="28" borderId="7" xfId="0" applyNumberFormat="1" applyFont="1" applyFill="1" applyBorder="1" applyAlignment="1">
      <alignment horizontal="right"/>
    </xf>
    <xf numFmtId="177" fontId="3" fillId="28" borderId="9" xfId="0" applyNumberFormat="1" applyFont="1" applyFill="1" applyBorder="1" applyAlignment="1">
      <alignment horizontal="right"/>
    </xf>
    <xf numFmtId="176" fontId="3" fillId="18" borderId="7" xfId="0" applyNumberFormat="1" applyFont="1" applyFill="1" applyBorder="1" applyAlignment="1">
      <alignment horizontal="right"/>
    </xf>
    <xf numFmtId="179" fontId="3" fillId="21" borderId="12" xfId="0" applyNumberFormat="1" applyFont="1" applyFill="1" applyBorder="1"/>
    <xf numFmtId="9" fontId="3" fillId="21" borderId="12" xfId="0" applyNumberFormat="1" applyFont="1" applyFill="1" applyBorder="1"/>
    <xf numFmtId="10" fontId="8" fillId="21" borderId="12" xfId="0" applyNumberFormat="1" applyFont="1" applyFill="1" applyBorder="1"/>
    <xf numFmtId="0" fontId="9" fillId="6" borderId="0" xfId="0" applyFont="1" applyFill="1"/>
    <xf numFmtId="0" fontId="3" fillId="6" borderId="0" xfId="0" applyFont="1" applyFill="1"/>
    <xf numFmtId="180" fontId="3" fillId="6" borderId="0" xfId="0" applyNumberFormat="1" applyFont="1" applyFill="1" applyAlignment="1">
      <alignment horizontal="right"/>
    </xf>
    <xf numFmtId="177" fontId="8" fillId="6" borderId="0" xfId="0" applyNumberFormat="1" applyFont="1" applyFill="1" applyAlignment="1">
      <alignment horizontal="right"/>
    </xf>
    <xf numFmtId="176" fontId="3" fillId="6" borderId="0" xfId="0" applyNumberFormat="1" applyFont="1" applyFill="1" applyAlignment="1">
      <alignment horizontal="right"/>
    </xf>
    <xf numFmtId="176" fontId="8" fillId="6" borderId="0" xfId="0" applyNumberFormat="1" applyFont="1" applyFill="1" applyAlignment="1">
      <alignment horizontal="right"/>
    </xf>
    <xf numFmtId="179" fontId="3" fillId="6" borderId="0" xfId="0" applyNumberFormat="1" applyFont="1" applyFill="1"/>
    <xf numFmtId="0" fontId="8" fillId="6" borderId="0" xfId="0" applyFont="1" applyFill="1"/>
    <xf numFmtId="10" fontId="8" fillId="6" borderId="0" xfId="0" applyNumberFormat="1" applyFont="1" applyFill="1"/>
    <xf numFmtId="9" fontId="8" fillId="6" borderId="0" xfId="0" applyNumberFormat="1" applyFont="1" applyFill="1"/>
    <xf numFmtId="177" fontId="8" fillId="6" borderId="0" xfId="0" applyNumberFormat="1" applyFont="1" applyFill="1"/>
    <xf numFmtId="177" fontId="9" fillId="6" borderId="0" xfId="0" applyNumberFormat="1" applyFont="1" applyFill="1"/>
    <xf numFmtId="176" fontId="9" fillId="6" borderId="0" xfId="0" applyNumberFormat="1" applyFont="1" applyFill="1"/>
    <xf numFmtId="180" fontId="3" fillId="0" borderId="0" xfId="0" applyNumberFormat="1" applyFont="1"/>
    <xf numFmtId="177" fontId="10" fillId="0" borderId="0" xfId="0" applyNumberFormat="1" applyFont="1"/>
    <xf numFmtId="176" fontId="3" fillId="0" borderId="0" xfId="0" applyNumberFormat="1" applyFont="1"/>
    <xf numFmtId="179" fontId="3" fillId="0" borderId="0" xfId="0" applyNumberFormat="1" applyFont="1"/>
    <xf numFmtId="0" fontId="2" fillId="0" borderId="14" xfId="0" applyFont="1" applyBorder="1"/>
    <xf numFmtId="0" fontId="2" fillId="0" borderId="17" xfId="0" applyFont="1" applyBorder="1"/>
    <xf numFmtId="0" fontId="3" fillId="0" borderId="4" xfId="0" applyFont="1" applyBorder="1"/>
    <xf numFmtId="0" fontId="11" fillId="0" borderId="0" xfId="0" applyFont="1"/>
    <xf numFmtId="0" fontId="4" fillId="3" borderId="3" xfId="0" applyFont="1" applyFill="1" applyBorder="1"/>
    <xf numFmtId="0" fontId="4" fillId="3" borderId="4" xfId="0" applyFont="1" applyFill="1" applyBorder="1"/>
    <xf numFmtId="0" fontId="2" fillId="0" borderId="3" xfId="0" applyFont="1" applyBorder="1"/>
    <xf numFmtId="180" fontId="3" fillId="24" borderId="1" xfId="0" applyNumberFormat="1" applyFont="1" applyFill="1" applyBorder="1" applyAlignment="1">
      <alignment horizontal="right"/>
    </xf>
    <xf numFmtId="178" fontId="3" fillId="0" borderId="1" xfId="0" applyNumberFormat="1" applyFont="1" applyBorder="1" applyAlignment="1">
      <alignment horizontal="right"/>
    </xf>
    <xf numFmtId="1" fontId="3" fillId="0" borderId="1" xfId="0" applyNumberFormat="1" applyFont="1" applyBorder="1" applyAlignment="1">
      <alignment horizontal="right"/>
    </xf>
    <xf numFmtId="9" fontId="3" fillId="0" borderId="1" xfId="0" applyNumberFormat="1" applyFont="1" applyBorder="1" applyAlignment="1">
      <alignment horizontal="right"/>
    </xf>
    <xf numFmtId="0" fontId="3" fillId="0" borderId="1" xfId="0" applyFont="1" applyBorder="1" applyAlignment="1">
      <alignment horizontal="right"/>
    </xf>
    <xf numFmtId="180" fontId="3" fillId="31" borderId="1" xfId="0" applyNumberFormat="1" applyFont="1" applyFill="1" applyBorder="1" applyAlignment="1">
      <alignment horizontal="right"/>
    </xf>
    <xf numFmtId="0" fontId="2" fillId="17" borderId="3" xfId="0" applyFont="1" applyFill="1" applyBorder="1"/>
    <xf numFmtId="0" fontId="3" fillId="17" borderId="4" xfId="0" applyFont="1" applyFill="1" applyBorder="1"/>
    <xf numFmtId="0" fontId="3" fillId="17" borderId="1" xfId="0" applyFont="1" applyFill="1" applyBorder="1"/>
    <xf numFmtId="0" fontId="3" fillId="17" borderId="1" xfId="0" applyFont="1" applyFill="1" applyBorder="1" applyAlignment="1">
      <alignment horizontal="center"/>
    </xf>
    <xf numFmtId="180" fontId="3" fillId="17" borderId="1" xfId="0" applyNumberFormat="1" applyFont="1" applyFill="1" applyBorder="1" applyAlignment="1">
      <alignment horizontal="right"/>
    </xf>
    <xf numFmtId="177" fontId="3" fillId="17" borderId="1" xfId="0" applyNumberFormat="1" applyFont="1" applyFill="1" applyBorder="1" applyAlignment="1">
      <alignment horizontal="right"/>
    </xf>
    <xf numFmtId="178" fontId="3" fillId="17" borderId="1" xfId="0" applyNumberFormat="1" applyFont="1" applyFill="1" applyBorder="1" applyAlignment="1">
      <alignment horizontal="right"/>
    </xf>
    <xf numFmtId="176" fontId="3" fillId="17" borderId="1" xfId="0" applyNumberFormat="1" applyFont="1" applyFill="1" applyBorder="1" applyAlignment="1">
      <alignment horizontal="right"/>
    </xf>
    <xf numFmtId="1" fontId="3" fillId="17" borderId="1" xfId="0" applyNumberFormat="1" applyFont="1" applyFill="1" applyBorder="1" applyAlignment="1">
      <alignment horizontal="right"/>
    </xf>
    <xf numFmtId="9" fontId="3" fillId="17" borderId="0" xfId="0" applyNumberFormat="1" applyFont="1" applyFill="1" applyAlignment="1">
      <alignment horizontal="right"/>
    </xf>
    <xf numFmtId="0" fontId="3" fillId="17" borderId="1" xfId="0" applyFont="1" applyFill="1" applyBorder="1" applyAlignment="1">
      <alignment horizontal="right"/>
    </xf>
    <xf numFmtId="180" fontId="3" fillId="18" borderId="1" xfId="0" applyNumberFormat="1" applyFont="1" applyFill="1" applyBorder="1" applyAlignment="1">
      <alignment horizontal="right"/>
    </xf>
    <xf numFmtId="0" fontId="3" fillId="5" borderId="1" xfId="0" applyFont="1" applyFill="1" applyBorder="1"/>
    <xf numFmtId="0" fontId="3" fillId="6" borderId="3" xfId="0" applyFont="1" applyFill="1" applyBorder="1"/>
    <xf numFmtId="0" fontId="3" fillId="6" borderId="4" xfId="0" applyFont="1" applyFill="1" applyBorder="1"/>
    <xf numFmtId="9" fontId="3" fillId="6" borderId="1" xfId="0" applyNumberFormat="1" applyFont="1" applyFill="1" applyBorder="1" applyAlignment="1">
      <alignment horizontal="right"/>
    </xf>
    <xf numFmtId="177" fontId="3" fillId="6" borderId="1" xfId="0" applyNumberFormat="1" applyFont="1" applyFill="1" applyBorder="1" applyAlignment="1">
      <alignment horizontal="right"/>
    </xf>
    <xf numFmtId="0" fontId="2" fillId="0" borderId="6" xfId="0" applyFont="1" applyBorder="1"/>
    <xf numFmtId="180" fontId="3" fillId="0" borderId="1" xfId="0" applyNumberFormat="1" applyFont="1" applyBorder="1" applyAlignment="1">
      <alignment horizontal="right"/>
    </xf>
    <xf numFmtId="9" fontId="3" fillId="0" borderId="0" xfId="0" applyNumberFormat="1" applyFont="1" applyAlignment="1">
      <alignment horizontal="right"/>
    </xf>
    <xf numFmtId="10" fontId="3" fillId="24" borderId="1" xfId="0" applyNumberFormat="1" applyFont="1" applyFill="1" applyBorder="1" applyAlignment="1">
      <alignment horizontal="right"/>
    </xf>
    <xf numFmtId="10" fontId="3" fillId="0" borderId="1" xfId="0" applyNumberFormat="1" applyFont="1" applyBorder="1" applyAlignment="1">
      <alignment horizontal="right"/>
    </xf>
    <xf numFmtId="10" fontId="3" fillId="18" borderId="1" xfId="0" applyNumberFormat="1" applyFont="1" applyFill="1" applyBorder="1" applyAlignment="1">
      <alignment horizontal="right"/>
    </xf>
    <xf numFmtId="0" fontId="6" fillId="0" borderId="0" xfId="0" applyFont="1"/>
    <xf numFmtId="0" fontId="2" fillId="0" borderId="16" xfId="0" applyFont="1" applyBorder="1"/>
    <xf numFmtId="0" fontId="2" fillId="32" borderId="17" xfId="0" applyFont="1" applyFill="1" applyBorder="1"/>
    <xf numFmtId="0" fontId="2" fillId="32" borderId="18" xfId="0" applyFont="1" applyFill="1" applyBorder="1"/>
    <xf numFmtId="0" fontId="2" fillId="32" borderId="16" xfId="0" applyFont="1" applyFill="1" applyBorder="1"/>
    <xf numFmtId="0" fontId="2" fillId="32" borderId="19" xfId="0" applyFont="1" applyFill="1" applyBorder="1"/>
    <xf numFmtId="0" fontId="2" fillId="0" borderId="19" xfId="0" applyFont="1" applyBorder="1" applyAlignment="1">
      <alignment vertical="center"/>
    </xf>
    <xf numFmtId="0" fontId="2" fillId="0" borderId="16" xfId="0" applyFont="1" applyBorder="1" applyAlignment="1">
      <alignment vertical="center"/>
    </xf>
    <xf numFmtId="0" fontId="2" fillId="0" borderId="17"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wrapText="1"/>
    </xf>
    <xf numFmtId="0" fontId="2" fillId="0" borderId="14" xfId="0" applyFont="1" applyBorder="1" applyAlignment="1">
      <alignment vertical="top"/>
    </xf>
    <xf numFmtId="0" fontId="2" fillId="0" borderId="16" xfId="0" applyFont="1" applyBorder="1" applyAlignment="1">
      <alignment vertical="top" wrapText="1"/>
    </xf>
    <xf numFmtId="0" fontId="12" fillId="18" borderId="0" xfId="0" applyFont="1" applyFill="1" applyAlignment="1">
      <alignment horizontal="left" vertical="top"/>
    </xf>
    <xf numFmtId="0" fontId="2" fillId="0" borderId="15" xfId="0" applyFont="1" applyBorder="1" applyAlignment="1">
      <alignment vertical="top" wrapText="1"/>
    </xf>
    <xf numFmtId="0" fontId="2" fillId="0" borderId="22" xfId="0" applyFont="1" applyBorder="1"/>
    <xf numFmtId="0" fontId="2" fillId="0" borderId="23" xfId="0" applyFont="1" applyBorder="1" applyAlignment="1">
      <alignment vertical="top" wrapText="1"/>
    </xf>
    <xf numFmtId="0" fontId="2" fillId="5" borderId="22" xfId="0" applyFont="1" applyFill="1" applyBorder="1" applyAlignment="1">
      <alignment vertical="top" wrapText="1"/>
    </xf>
    <xf numFmtId="0" fontId="2" fillId="5" borderId="23" xfId="0" applyFont="1" applyFill="1" applyBorder="1" applyAlignment="1">
      <alignment vertical="top" wrapText="1"/>
    </xf>
    <xf numFmtId="0" fontId="2" fillId="5" borderId="21" xfId="0" applyFont="1" applyFill="1" applyBorder="1" applyAlignment="1">
      <alignment vertical="top" wrapText="1"/>
    </xf>
    <xf numFmtId="0" fontId="2" fillId="0" borderId="0" xfId="0" applyFont="1" applyAlignment="1">
      <alignment wrapText="1"/>
    </xf>
    <xf numFmtId="0" fontId="2" fillId="0" borderId="24" xfId="0" applyFont="1" applyBorder="1" applyAlignment="1">
      <alignment vertical="center"/>
    </xf>
    <xf numFmtId="0" fontId="2" fillId="0" borderId="14" xfId="0" applyFont="1" applyBorder="1" applyAlignment="1">
      <alignment vertical="top" wrapText="1"/>
    </xf>
    <xf numFmtId="0" fontId="2" fillId="0" borderId="23" xfId="0" applyFont="1" applyBorder="1" applyAlignment="1">
      <alignment vertical="top"/>
    </xf>
    <xf numFmtId="0" fontId="2" fillId="0" borderId="25" xfId="0" applyFont="1" applyBorder="1" applyAlignment="1">
      <alignment vertical="top" wrapText="1"/>
    </xf>
    <xf numFmtId="0" fontId="2" fillId="0" borderId="18" xfId="0" applyFont="1" applyBorder="1" applyAlignment="1">
      <alignment vertical="top"/>
    </xf>
    <xf numFmtId="0" fontId="2" fillId="0" borderId="26" xfId="0" applyFont="1" applyBorder="1" applyAlignment="1">
      <alignment vertical="top" wrapText="1"/>
    </xf>
    <xf numFmtId="0" fontId="2" fillId="0" borderId="0" xfId="0" applyFont="1" applyAlignment="1">
      <alignment vertical="top" wrapText="1"/>
    </xf>
    <xf numFmtId="0" fontId="2" fillId="5" borderId="27" xfId="0" applyFont="1" applyFill="1" applyBorder="1" applyAlignment="1">
      <alignment vertical="top" wrapText="1"/>
    </xf>
    <xf numFmtId="0" fontId="2" fillId="5" borderId="0" xfId="0" applyFont="1" applyFill="1" applyAlignment="1">
      <alignment vertical="top" wrapText="1"/>
    </xf>
    <xf numFmtId="0" fontId="2" fillId="5" borderId="28" xfId="0" applyFont="1" applyFill="1" applyBorder="1" applyAlignment="1">
      <alignment vertical="top" wrapText="1"/>
    </xf>
    <xf numFmtId="0" fontId="2" fillId="0" borderId="26" xfId="0" applyFont="1" applyBorder="1" applyAlignment="1">
      <alignment vertical="center"/>
    </xf>
    <xf numFmtId="0" fontId="2" fillId="0" borderId="14" xfId="0" applyFont="1" applyBorder="1" applyAlignment="1">
      <alignment vertical="center" wrapText="1"/>
    </xf>
    <xf numFmtId="0" fontId="2" fillId="0" borderId="18" xfId="0" applyFont="1" applyBorder="1" applyAlignment="1">
      <alignment vertical="center"/>
    </xf>
    <xf numFmtId="0" fontId="2" fillId="0" borderId="16" xfId="0" applyFont="1" applyBorder="1" applyAlignment="1">
      <alignment vertical="center" wrapText="1"/>
    </xf>
    <xf numFmtId="0" fontId="2" fillId="0" borderId="23" xfId="0" applyFont="1" applyBorder="1" applyAlignment="1">
      <alignment vertical="center"/>
    </xf>
    <xf numFmtId="0" fontId="2" fillId="0" borderId="25" xfId="0" applyFont="1" applyBorder="1" applyAlignment="1">
      <alignment vertical="center"/>
    </xf>
    <xf numFmtId="0" fontId="2" fillId="0" borderId="21" xfId="0" applyFont="1" applyBorder="1" applyAlignment="1">
      <alignment vertical="center" wrapText="1"/>
    </xf>
    <xf numFmtId="0" fontId="2" fillId="0" borderId="14" xfId="0" applyFont="1" applyBorder="1" applyAlignment="1">
      <alignment vertical="center"/>
    </xf>
    <xf numFmtId="0" fontId="2" fillId="0" borderId="15" xfId="0" applyFont="1" applyBorder="1" applyAlignment="1">
      <alignment vertical="center" wrapText="1"/>
    </xf>
    <xf numFmtId="0" fontId="2" fillId="0" borderId="22" xfId="0" applyFont="1" applyBorder="1" applyAlignment="1">
      <alignment vertical="center" wrapText="1"/>
    </xf>
    <xf numFmtId="0" fontId="2" fillId="5" borderId="0" xfId="0" applyFont="1" applyFill="1" applyAlignment="1">
      <alignment vertical="center"/>
    </xf>
    <xf numFmtId="0" fontId="2" fillId="5" borderId="28" xfId="0" applyFont="1" applyFill="1" applyBorder="1" applyAlignment="1">
      <alignment vertical="center" wrapText="1"/>
    </xf>
    <xf numFmtId="0" fontId="3" fillId="0" borderId="14" xfId="0" applyFont="1" applyBorder="1" applyAlignment="1">
      <alignment vertical="center" wrapText="1"/>
    </xf>
    <xf numFmtId="0" fontId="3" fillId="0" borderId="29" xfId="0" applyFont="1" applyBorder="1" applyAlignment="1">
      <alignment vertical="center" wrapText="1"/>
    </xf>
    <xf numFmtId="0" fontId="3" fillId="0" borderId="25" xfId="0" applyFont="1" applyBorder="1" applyAlignment="1">
      <alignment vertical="center" wrapText="1"/>
    </xf>
    <xf numFmtId="0" fontId="2" fillId="0" borderId="28" xfId="0" applyFont="1" applyBorder="1" applyAlignment="1">
      <alignment vertical="center"/>
    </xf>
    <xf numFmtId="0" fontId="12" fillId="18" borderId="0" xfId="0" applyFont="1" applyFill="1" applyAlignment="1">
      <alignment horizontal="left" vertical="center"/>
    </xf>
    <xf numFmtId="0" fontId="2" fillId="0" borderId="25" xfId="0" applyFont="1" applyBorder="1" applyAlignment="1">
      <alignment vertical="center" wrapText="1"/>
    </xf>
    <xf numFmtId="0" fontId="2" fillId="5" borderId="27" xfId="0" applyFont="1" applyFill="1" applyBorder="1" applyAlignment="1">
      <alignment vertical="center" wrapText="1"/>
    </xf>
    <xf numFmtId="0" fontId="2" fillId="5" borderId="0" xfId="0" applyFont="1" applyFill="1" applyAlignment="1">
      <alignment vertical="center" wrapTex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6" xfId="0" applyFont="1" applyBorder="1" applyAlignment="1">
      <alignment vertical="center" wrapText="1"/>
    </xf>
    <xf numFmtId="0" fontId="3" fillId="0" borderId="15" xfId="0" applyFont="1" applyBorder="1" applyAlignment="1">
      <alignment vertical="center" wrapText="1"/>
    </xf>
    <xf numFmtId="0" fontId="3" fillId="0" borderId="14" xfId="0" applyFont="1" applyBorder="1" applyAlignment="1">
      <alignment vertical="center"/>
    </xf>
    <xf numFmtId="0" fontId="2" fillId="0" borderId="30" xfId="0" applyFont="1" applyBorder="1" applyAlignment="1">
      <alignment vertical="center" wrapText="1"/>
    </xf>
    <xf numFmtId="0" fontId="2" fillId="5" borderId="26" xfId="0" applyFont="1" applyFill="1" applyBorder="1" applyAlignment="1">
      <alignment vertical="center" wrapText="1"/>
    </xf>
    <xf numFmtId="0" fontId="2" fillId="5" borderId="30" xfId="0" applyFont="1" applyFill="1" applyBorder="1" applyAlignment="1">
      <alignment vertical="center" wrapText="1"/>
    </xf>
    <xf numFmtId="0" fontId="2" fillId="5" borderId="25" xfId="0" applyFont="1" applyFill="1" applyBorder="1" applyAlignment="1">
      <alignment vertical="center" wrapText="1"/>
    </xf>
    <xf numFmtId="0" fontId="2" fillId="17" borderId="0" xfId="0" applyFont="1" applyFill="1" applyAlignment="1">
      <alignment vertical="center"/>
    </xf>
    <xf numFmtId="0" fontId="2" fillId="17" borderId="31" xfId="0" applyFont="1" applyFill="1" applyBorder="1" applyAlignment="1">
      <alignment vertical="center"/>
    </xf>
    <xf numFmtId="0" fontId="2" fillId="0" borderId="0" xfId="0" applyFont="1" applyAlignment="1">
      <alignment vertical="center"/>
    </xf>
    <xf numFmtId="0" fontId="2" fillId="17" borderId="28" xfId="0" applyFont="1" applyFill="1" applyBorder="1" applyAlignment="1">
      <alignment vertical="center"/>
    </xf>
    <xf numFmtId="0" fontId="2" fillId="0" borderId="32" xfId="0" applyFont="1" applyBorder="1" applyAlignment="1">
      <alignment vertical="center"/>
    </xf>
    <xf numFmtId="0" fontId="2" fillId="16" borderId="23" xfId="0" applyFont="1" applyFill="1" applyBorder="1" applyAlignment="1">
      <alignment vertical="center"/>
    </xf>
    <xf numFmtId="0" fontId="2" fillId="16" borderId="21" xfId="0" applyFont="1" applyFill="1" applyBorder="1" applyAlignment="1">
      <alignment vertical="center"/>
    </xf>
    <xf numFmtId="0" fontId="2" fillId="0" borderId="33" xfId="0" applyFont="1" applyBorder="1" applyAlignment="1">
      <alignment vertical="center"/>
    </xf>
    <xf numFmtId="0" fontId="2" fillId="0" borderId="31" xfId="0" applyFont="1" applyBorder="1" applyAlignment="1">
      <alignment vertical="center"/>
    </xf>
    <xf numFmtId="0" fontId="2" fillId="33" borderId="0" xfId="0" applyFont="1" applyFill="1" applyAlignment="1">
      <alignment vertical="center"/>
    </xf>
    <xf numFmtId="0" fontId="2" fillId="33" borderId="28" xfId="0" applyFont="1" applyFill="1" applyBorder="1" applyAlignment="1">
      <alignment vertical="center"/>
    </xf>
    <xf numFmtId="0" fontId="2" fillId="13" borderId="0" xfId="0" applyFont="1" applyFill="1" applyAlignment="1">
      <alignment horizontal="center"/>
    </xf>
    <xf numFmtId="0" fontId="2" fillId="0" borderId="30" xfId="0" applyFont="1" applyBorder="1" applyAlignment="1">
      <alignment vertical="center"/>
    </xf>
    <xf numFmtId="0" fontId="2" fillId="0" borderId="34" xfId="0" applyFont="1" applyBorder="1" applyAlignment="1">
      <alignment vertical="center"/>
    </xf>
    <xf numFmtId="0" fontId="13" fillId="34" borderId="30" xfId="0" applyFont="1" applyFill="1" applyBorder="1" applyAlignment="1">
      <alignment vertical="center"/>
    </xf>
    <xf numFmtId="0" fontId="2" fillId="34" borderId="25" xfId="0" applyFont="1" applyFill="1" applyBorder="1" applyAlignment="1">
      <alignment vertical="center"/>
    </xf>
    <xf numFmtId="0" fontId="2" fillId="2" borderId="0" xfId="0" applyFont="1" applyFill="1" applyAlignment="1">
      <alignment vertical="center"/>
    </xf>
    <xf numFmtId="0" fontId="2" fillId="2" borderId="28" xfId="0" applyFont="1" applyFill="1" applyBorder="1" applyAlignment="1">
      <alignment vertical="center"/>
    </xf>
    <xf numFmtId="0" fontId="2" fillId="35" borderId="30" xfId="0" applyFont="1" applyFill="1" applyBorder="1" applyAlignment="1">
      <alignment vertical="center"/>
    </xf>
    <xf numFmtId="0" fontId="2" fillId="35" borderId="25" xfId="0" applyFont="1" applyFill="1" applyBorder="1" applyAlignment="1">
      <alignment vertical="center"/>
    </xf>
    <xf numFmtId="0" fontId="2" fillId="32" borderId="14" xfId="0" applyFont="1" applyFill="1" applyBorder="1" applyAlignment="1">
      <alignment vertical="center"/>
    </xf>
    <xf numFmtId="0" fontId="2" fillId="32" borderId="35" xfId="0" applyFont="1" applyFill="1" applyBorder="1" applyAlignment="1">
      <alignment vertical="center"/>
    </xf>
    <xf numFmtId="0" fontId="2" fillId="32" borderId="15" xfId="0" applyFont="1" applyFill="1" applyBorder="1" applyAlignment="1">
      <alignment vertical="center"/>
    </xf>
    <xf numFmtId="0" fontId="14" fillId="32" borderId="15" xfId="0" applyFont="1" applyFill="1" applyBorder="1" applyAlignment="1">
      <alignment vertical="center"/>
    </xf>
    <xf numFmtId="0" fontId="2" fillId="32" borderId="16" xfId="0" applyFont="1" applyFill="1" applyBorder="1" applyAlignment="1">
      <alignment vertical="center"/>
    </xf>
    <xf numFmtId="0" fontId="2" fillId="0" borderId="14" xfId="0" applyFont="1" applyBorder="1" applyAlignment="1">
      <alignment horizontal="right" vertical="center"/>
    </xf>
    <xf numFmtId="177" fontId="2" fillId="0" borderId="35" xfId="0" applyNumberFormat="1" applyFont="1" applyBorder="1" applyAlignment="1">
      <alignment horizontal="center" vertical="center"/>
    </xf>
    <xf numFmtId="0" fontId="2" fillId="0" borderId="15" xfId="0" applyFont="1" applyBorder="1" applyAlignment="1">
      <alignment horizontal="right" vertical="center"/>
    </xf>
    <xf numFmtId="177" fontId="2" fillId="0" borderId="16" xfId="0" applyNumberFormat="1" applyFont="1" applyBorder="1" applyAlignment="1">
      <alignment vertical="center"/>
    </xf>
    <xf numFmtId="0" fontId="2" fillId="6" borderId="14" xfId="0" applyFont="1" applyFill="1" applyBorder="1" applyAlignment="1">
      <alignment horizontal="right" vertical="center"/>
    </xf>
    <xf numFmtId="177" fontId="2" fillId="6" borderId="35" xfId="0" applyNumberFormat="1" applyFont="1" applyFill="1" applyBorder="1" applyAlignment="1">
      <alignment horizontal="center" vertical="center"/>
    </xf>
    <xf numFmtId="0" fontId="2" fillId="6" borderId="15" xfId="0" applyFont="1" applyFill="1" applyBorder="1" applyAlignment="1">
      <alignment horizontal="right" vertical="center"/>
    </xf>
    <xf numFmtId="177" fontId="2" fillId="6" borderId="16" xfId="0" applyNumberFormat="1" applyFont="1" applyFill="1" applyBorder="1" applyAlignment="1">
      <alignment vertical="center"/>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6" fillId="3" borderId="0" xfId="0" applyFont="1" applyFill="1" applyAlignment="1">
      <alignment horizontal="center" vertical="center" wrapText="1"/>
    </xf>
    <xf numFmtId="3" fontId="16" fillId="3" borderId="0" xfId="0" applyNumberFormat="1" applyFont="1" applyFill="1" applyAlignment="1">
      <alignment horizontal="center" vertical="center" wrapText="1"/>
    </xf>
    <xf numFmtId="179" fontId="16" fillId="3" borderId="0" xfId="0" applyNumberFormat="1" applyFont="1" applyFill="1" applyAlignment="1">
      <alignment horizontal="center" vertical="center" wrapText="1"/>
    </xf>
    <xf numFmtId="10" fontId="16" fillId="3" borderId="0" xfId="0" applyNumberFormat="1" applyFont="1" applyFill="1" applyAlignment="1">
      <alignment horizontal="center" vertical="center" wrapText="1"/>
    </xf>
    <xf numFmtId="182" fontId="16" fillId="3" borderId="0" xfId="0" applyNumberFormat="1" applyFont="1" applyFill="1" applyAlignment="1">
      <alignment horizontal="center" vertical="center" wrapText="1"/>
    </xf>
    <xf numFmtId="0" fontId="17" fillId="0" borderId="0" xfId="0" applyFont="1"/>
    <xf numFmtId="10" fontId="17" fillId="0" borderId="0" xfId="0" applyNumberFormat="1" applyFont="1"/>
    <xf numFmtId="182" fontId="17" fillId="0" borderId="0" xfId="0" applyNumberFormat="1" applyFont="1"/>
    <xf numFmtId="0" fontId="18" fillId="36" borderId="0" xfId="0" applyFont="1" applyFill="1" applyAlignment="1">
      <alignment horizontal="center" vertical="center"/>
    </xf>
    <xf numFmtId="0" fontId="19" fillId="2" borderId="0" xfId="0" applyFont="1" applyFill="1" applyAlignment="1">
      <alignment horizontal="center" vertical="center"/>
    </xf>
    <xf numFmtId="0" fontId="19" fillId="21" borderId="24" xfId="0" applyFont="1" applyFill="1" applyBorder="1"/>
    <xf numFmtId="0" fontId="17" fillId="21" borderId="12" xfId="0" applyFont="1" applyFill="1" applyBorder="1"/>
    <xf numFmtId="10" fontId="17" fillId="21" borderId="12" xfId="0" applyNumberFormat="1" applyFont="1" applyFill="1" applyBorder="1"/>
    <xf numFmtId="182" fontId="17" fillId="21" borderId="12" xfId="0" applyNumberFormat="1" applyFont="1" applyFill="1" applyBorder="1"/>
    <xf numFmtId="182" fontId="17" fillId="21" borderId="0" xfId="0" applyNumberFormat="1" applyFont="1" applyFill="1"/>
    <xf numFmtId="0" fontId="15" fillId="0" borderId="36" xfId="0" applyFont="1" applyBorder="1" applyAlignment="1">
      <alignment horizontal="center" vertical="center"/>
    </xf>
    <xf numFmtId="0" fontId="15" fillId="0" borderId="36" xfId="0" applyFont="1" applyBorder="1"/>
    <xf numFmtId="0" fontId="15" fillId="0" borderId="36" xfId="0" applyFont="1" applyBorder="1" applyAlignment="1">
      <alignment wrapText="1"/>
    </xf>
    <xf numFmtId="0" fontId="15" fillId="0" borderId="0" xfId="0" applyFont="1"/>
    <xf numFmtId="10" fontId="15" fillId="0" borderId="0" xfId="0" applyNumberFormat="1" applyFont="1" applyAlignment="1">
      <alignment horizontal="right"/>
    </xf>
    <xf numFmtId="177" fontId="15" fillId="0" borderId="7" xfId="0" applyNumberFormat="1" applyFont="1" applyBorder="1" applyAlignment="1">
      <alignment horizontal="right"/>
    </xf>
    <xf numFmtId="178" fontId="15" fillId="5" borderId="0" xfId="0" applyNumberFormat="1" applyFont="1" applyFill="1" applyAlignment="1">
      <alignment horizontal="right"/>
    </xf>
    <xf numFmtId="3" fontId="15" fillId="5" borderId="0" xfId="0" applyNumberFormat="1" applyFont="1" applyFill="1" applyAlignment="1">
      <alignment horizontal="right"/>
    </xf>
    <xf numFmtId="176" fontId="15" fillId="5" borderId="0" xfId="0" applyNumberFormat="1" applyFont="1" applyFill="1" applyAlignment="1">
      <alignment horizontal="right"/>
    </xf>
    <xf numFmtId="9" fontId="15" fillId="5" borderId="0" xfId="0" applyNumberFormat="1" applyFont="1" applyFill="1" applyAlignment="1">
      <alignment horizontal="right"/>
    </xf>
    <xf numFmtId="10" fontId="15" fillId="5" borderId="0" xfId="0" applyNumberFormat="1" applyFont="1" applyFill="1" applyAlignment="1">
      <alignment horizontal="right"/>
    </xf>
    <xf numFmtId="182" fontId="15" fillId="5" borderId="0" xfId="0" applyNumberFormat="1" applyFont="1" applyFill="1" applyAlignment="1">
      <alignment horizontal="right"/>
    </xf>
    <xf numFmtId="0" fontId="20" fillId="0" borderId="36" xfId="0" applyFont="1" applyBorder="1" applyAlignment="1">
      <alignment horizontal="center" vertical="center"/>
    </xf>
    <xf numFmtId="0" fontId="16" fillId="0" borderId="0" xfId="0" applyFont="1"/>
    <xf numFmtId="0" fontId="16" fillId="6" borderId="0" xfId="0" applyFont="1" applyFill="1"/>
    <xf numFmtId="0" fontId="15" fillId="6" borderId="0" xfId="0" applyFont="1" applyFill="1"/>
    <xf numFmtId="180" fontId="15" fillId="6" borderId="0" xfId="0" applyNumberFormat="1" applyFont="1" applyFill="1" applyAlignment="1">
      <alignment horizontal="right"/>
    </xf>
    <xf numFmtId="182" fontId="15" fillId="6" borderId="0" xfId="0" applyNumberFormat="1" applyFont="1" applyFill="1"/>
    <xf numFmtId="3" fontId="15" fillId="6" borderId="0" xfId="0" applyNumberFormat="1" applyFont="1" applyFill="1"/>
    <xf numFmtId="183" fontId="15" fillId="6" borderId="0" xfId="0" applyNumberFormat="1" applyFont="1" applyFill="1"/>
    <xf numFmtId="10" fontId="15" fillId="6" borderId="0" xfId="0" applyNumberFormat="1" applyFont="1" applyFill="1"/>
    <xf numFmtId="0" fontId="17" fillId="19" borderId="0" xfId="0" applyFont="1" applyFill="1"/>
    <xf numFmtId="0" fontId="21" fillId="19" borderId="0" xfId="0" applyFont="1" applyFill="1"/>
    <xf numFmtId="10" fontId="17" fillId="19" borderId="0" xfId="0" applyNumberFormat="1" applyFont="1" applyFill="1"/>
    <xf numFmtId="182" fontId="17" fillId="19" borderId="0" xfId="0" applyNumberFormat="1" applyFont="1" applyFill="1"/>
    <xf numFmtId="0" fontId="17" fillId="37" borderId="0" xfId="0" applyFont="1" applyFill="1"/>
    <xf numFmtId="0" fontId="22" fillId="21" borderId="24" xfId="0" applyFont="1" applyFill="1" applyBorder="1"/>
    <xf numFmtId="0" fontId="17" fillId="21" borderId="0" xfId="0" applyFont="1" applyFill="1"/>
    <xf numFmtId="10" fontId="17" fillId="21" borderId="0" xfId="0" applyNumberFormat="1" applyFont="1" applyFill="1"/>
    <xf numFmtId="0" fontId="23" fillId="38" borderId="12" xfId="0" applyFont="1" applyFill="1" applyBorder="1"/>
    <xf numFmtId="0" fontId="15" fillId="3" borderId="36" xfId="0" applyFont="1" applyFill="1" applyBorder="1"/>
    <xf numFmtId="10" fontId="15" fillId="19" borderId="0" xfId="0" applyNumberFormat="1" applyFont="1" applyFill="1" applyAlignment="1">
      <alignment horizontal="right"/>
    </xf>
    <xf numFmtId="3" fontId="15" fillId="0" borderId="0" xfId="0" applyNumberFormat="1" applyFont="1" applyAlignment="1">
      <alignment horizontal="right"/>
    </xf>
    <xf numFmtId="179" fontId="15" fillId="0" borderId="7" xfId="0" applyNumberFormat="1" applyFont="1" applyBorder="1" applyAlignment="1">
      <alignment horizontal="right"/>
    </xf>
    <xf numFmtId="3" fontId="15" fillId="0" borderId="7" xfId="0" applyNumberFormat="1" applyFont="1" applyBorder="1" applyAlignment="1">
      <alignment horizontal="right"/>
    </xf>
    <xf numFmtId="178" fontId="15" fillId="5" borderId="37" xfId="0" applyNumberFormat="1" applyFont="1" applyFill="1" applyBorder="1" applyAlignment="1">
      <alignment horizontal="right"/>
    </xf>
    <xf numFmtId="10" fontId="15" fillId="0" borderId="37" xfId="0" applyNumberFormat="1" applyFont="1" applyBorder="1" applyAlignment="1">
      <alignment horizontal="right"/>
    </xf>
    <xf numFmtId="3" fontId="15" fillId="0" borderId="37" xfId="0" applyNumberFormat="1" applyFont="1" applyBorder="1" applyAlignment="1">
      <alignment horizontal="right"/>
    </xf>
    <xf numFmtId="178" fontId="15" fillId="0" borderId="37" xfId="0" applyNumberFormat="1" applyFont="1" applyBorder="1" applyAlignment="1">
      <alignment horizontal="right"/>
    </xf>
    <xf numFmtId="3" fontId="15" fillId="38" borderId="37" xfId="0" applyNumberFormat="1" applyFont="1" applyFill="1" applyBorder="1" applyAlignment="1">
      <alignment horizontal="right"/>
    </xf>
    <xf numFmtId="182" fontId="15" fillId="0" borderId="0" xfId="0" applyNumberFormat="1" applyFont="1" applyAlignment="1">
      <alignment horizontal="right"/>
    </xf>
    <xf numFmtId="180" fontId="15" fillId="0" borderId="37" xfId="0" applyNumberFormat="1" applyFont="1" applyBorder="1" applyAlignment="1">
      <alignment horizontal="right"/>
    </xf>
    <xf numFmtId="178" fontId="15" fillId="0" borderId="0" xfId="0" applyNumberFormat="1" applyFont="1" applyAlignment="1">
      <alignment horizontal="right"/>
    </xf>
    <xf numFmtId="3" fontId="15" fillId="38" borderId="0" xfId="0" applyNumberFormat="1" applyFont="1" applyFill="1" applyAlignment="1">
      <alignment horizontal="right"/>
    </xf>
    <xf numFmtId="180" fontId="15" fillId="0" borderId="0" xfId="0" applyNumberFormat="1" applyFont="1" applyAlignment="1">
      <alignment horizontal="right"/>
    </xf>
    <xf numFmtId="0" fontId="15" fillId="0" borderId="7" xfId="0" applyFont="1" applyBorder="1"/>
    <xf numFmtId="178" fontId="15" fillId="0" borderId="8" xfId="0" applyNumberFormat="1" applyFont="1" applyBorder="1" applyAlignment="1">
      <alignment horizontal="right"/>
    </xf>
    <xf numFmtId="176" fontId="15" fillId="0" borderId="7" xfId="0" applyNumberFormat="1" applyFont="1" applyBorder="1" applyAlignment="1">
      <alignment horizontal="right"/>
    </xf>
    <xf numFmtId="9" fontId="15" fillId="0" borderId="7" xfId="0" applyNumberFormat="1" applyFont="1" applyBorder="1" applyAlignment="1">
      <alignment horizontal="right"/>
    </xf>
    <xf numFmtId="178" fontId="15" fillId="37" borderId="8" xfId="0" applyNumberFormat="1" applyFont="1" applyFill="1" applyBorder="1" applyAlignment="1">
      <alignment horizontal="right"/>
    </xf>
    <xf numFmtId="3" fontId="15" fillId="37" borderId="7" xfId="0" applyNumberFormat="1" applyFont="1" applyFill="1" applyBorder="1" applyAlignment="1">
      <alignment horizontal="right"/>
    </xf>
    <xf numFmtId="176" fontId="15" fillId="37" borderId="7" xfId="0" applyNumberFormat="1" applyFont="1" applyFill="1" applyBorder="1" applyAlignment="1">
      <alignment horizontal="right"/>
    </xf>
    <xf numFmtId="9" fontId="15" fillId="37" borderId="7" xfId="0" applyNumberFormat="1" applyFont="1" applyFill="1" applyBorder="1" applyAlignment="1">
      <alignment horizontal="right"/>
    </xf>
    <xf numFmtId="3" fontId="15" fillId="37" borderId="0" xfId="0" applyNumberFormat="1" applyFont="1" applyFill="1" applyAlignment="1">
      <alignment horizontal="right"/>
    </xf>
    <xf numFmtId="177" fontId="15" fillId="37" borderId="7" xfId="0" applyNumberFormat="1" applyFont="1" applyFill="1" applyBorder="1" applyAlignment="1">
      <alignment horizontal="right"/>
    </xf>
    <xf numFmtId="179" fontId="15" fillId="37" borderId="7" xfId="0" applyNumberFormat="1" applyFont="1" applyFill="1" applyBorder="1" applyAlignment="1">
      <alignment horizontal="right"/>
    </xf>
    <xf numFmtId="0" fontId="15" fillId="0" borderId="36" xfId="0" applyFont="1" applyBorder="1" applyAlignment="1">
      <alignment horizontal="center" vertical="center" wrapText="1"/>
    </xf>
    <xf numFmtId="0" fontId="15" fillId="0" borderId="38" xfId="0" applyFont="1" applyBorder="1" applyAlignment="1">
      <alignment wrapText="1"/>
    </xf>
    <xf numFmtId="177" fontId="15" fillId="36" borderId="0" xfId="0" applyNumberFormat="1" applyFont="1" applyFill="1" applyAlignment="1">
      <alignment horizontal="right"/>
    </xf>
    <xf numFmtId="178" fontId="15" fillId="0" borderId="9" xfId="0" applyNumberFormat="1" applyFont="1" applyBorder="1" applyAlignment="1">
      <alignment horizontal="right"/>
    </xf>
    <xf numFmtId="9" fontId="15" fillId="0" borderId="0" xfId="0" applyNumberFormat="1" applyFont="1" applyAlignment="1">
      <alignment horizontal="right"/>
    </xf>
    <xf numFmtId="177" fontId="15" fillId="0" borderId="0" xfId="0" applyNumberFormat="1" applyFont="1" applyAlignment="1">
      <alignment horizontal="right"/>
    </xf>
    <xf numFmtId="179" fontId="15" fillId="0" borderId="0" xfId="0" applyNumberFormat="1" applyFont="1" applyAlignment="1">
      <alignment horizontal="right"/>
    </xf>
    <xf numFmtId="3" fontId="15" fillId="36" borderId="0" xfId="0" applyNumberFormat="1" applyFont="1" applyFill="1" applyAlignment="1">
      <alignment horizontal="right"/>
    </xf>
    <xf numFmtId="0" fontId="15" fillId="18" borderId="36" xfId="0" applyFont="1" applyFill="1" applyBorder="1"/>
    <xf numFmtId="182" fontId="16" fillId="6" borderId="0" xfId="0" applyNumberFormat="1" applyFont="1" applyFill="1"/>
    <xf numFmtId="0" fontId="15" fillId="0" borderId="17" xfId="0" applyFont="1" applyBorder="1" applyAlignment="1">
      <alignment horizontal="center" vertical="center"/>
    </xf>
    <xf numFmtId="0" fontId="15" fillId="0" borderId="17" xfId="0" applyFont="1" applyBorder="1" applyAlignment="1">
      <alignment wrapText="1"/>
    </xf>
    <xf numFmtId="0" fontId="15" fillId="0" borderId="17" xfId="0" applyFont="1" applyBorder="1"/>
    <xf numFmtId="10" fontId="15" fillId="19" borderId="17" xfId="0" applyNumberFormat="1" applyFont="1" applyFill="1" applyBorder="1" applyAlignment="1">
      <alignment horizontal="right"/>
    </xf>
    <xf numFmtId="177" fontId="16" fillId="0" borderId="17" xfId="0" applyNumberFormat="1" applyFont="1" applyBorder="1" applyAlignment="1">
      <alignment horizontal="right"/>
    </xf>
    <xf numFmtId="178" fontId="15" fillId="0" borderId="17" xfId="0" applyNumberFormat="1" applyFont="1" applyBorder="1" applyAlignment="1">
      <alignment horizontal="right"/>
    </xf>
    <xf numFmtId="3" fontId="15" fillId="0" borderId="17" xfId="0" applyNumberFormat="1" applyFont="1" applyBorder="1" applyAlignment="1">
      <alignment horizontal="right"/>
    </xf>
    <xf numFmtId="9" fontId="15" fillId="0" borderId="17" xfId="0" applyNumberFormat="1" applyFont="1" applyBorder="1" applyAlignment="1">
      <alignment horizontal="right"/>
    </xf>
    <xf numFmtId="177" fontId="15" fillId="0" borderId="17" xfId="0" applyNumberFormat="1" applyFont="1" applyBorder="1" applyAlignment="1">
      <alignment horizontal="right"/>
    </xf>
    <xf numFmtId="179" fontId="15" fillId="0" borderId="17" xfId="0" applyNumberFormat="1" applyFont="1" applyBorder="1" applyAlignment="1">
      <alignment horizontal="right"/>
    </xf>
    <xf numFmtId="178" fontId="15" fillId="5" borderId="17" xfId="0" applyNumberFormat="1" applyFont="1" applyFill="1" applyBorder="1" applyAlignment="1">
      <alignment horizontal="right"/>
    </xf>
    <xf numFmtId="10" fontId="15" fillId="5" borderId="17" xfId="0" applyNumberFormat="1" applyFont="1" applyFill="1" applyBorder="1" applyAlignment="1">
      <alignment horizontal="right"/>
    </xf>
    <xf numFmtId="182" fontId="15" fillId="0" borderId="17" xfId="0" applyNumberFormat="1" applyFont="1" applyBorder="1" applyAlignment="1">
      <alignment horizontal="right"/>
    </xf>
    <xf numFmtId="180" fontId="15" fillId="0" borderId="17" xfId="0" applyNumberFormat="1" applyFont="1" applyBorder="1" applyAlignment="1">
      <alignment horizontal="right"/>
    </xf>
    <xf numFmtId="0" fontId="24" fillId="36" borderId="0" xfId="0" applyFont="1" applyFill="1"/>
    <xf numFmtId="182" fontId="24" fillId="36" borderId="0" xfId="0" applyNumberFormat="1" applyFont="1" applyFill="1"/>
    <xf numFmtId="3" fontId="24" fillId="36" borderId="0" xfId="0" applyNumberFormat="1" applyFont="1" applyFill="1"/>
    <xf numFmtId="0" fontId="15" fillId="0" borderId="39" xfId="0" applyFont="1" applyBorder="1" applyAlignment="1">
      <alignment wrapText="1"/>
    </xf>
    <xf numFmtId="0" fontId="15" fillId="3" borderId="40" xfId="0" applyFont="1" applyFill="1" applyBorder="1" applyAlignment="1">
      <alignment wrapText="1"/>
    </xf>
    <xf numFmtId="177" fontId="15" fillId="0" borderId="41" xfId="0" applyNumberFormat="1" applyFont="1" applyBorder="1" applyAlignment="1">
      <alignment horizontal="right"/>
    </xf>
    <xf numFmtId="3" fontId="15" fillId="37" borderId="41" xfId="0" applyNumberFormat="1" applyFont="1" applyFill="1" applyBorder="1" applyAlignment="1">
      <alignment horizontal="right"/>
    </xf>
    <xf numFmtId="177" fontId="15" fillId="37" borderId="41" xfId="0" applyNumberFormat="1" applyFont="1" applyFill="1" applyBorder="1" applyAlignment="1">
      <alignment horizontal="right"/>
    </xf>
    <xf numFmtId="0" fontId="15" fillId="3" borderId="39" xfId="0" applyFont="1" applyFill="1" applyBorder="1" applyAlignment="1">
      <alignment wrapText="1"/>
    </xf>
    <xf numFmtId="182" fontId="15" fillId="0" borderId="14" xfId="0" applyNumberFormat="1" applyFont="1" applyBorder="1" applyAlignment="1">
      <alignment horizontal="right"/>
    </xf>
    <xf numFmtId="0" fontId="19" fillId="0" borderId="0" xfId="0" applyFont="1"/>
    <xf numFmtId="181" fontId="17" fillId="0" borderId="0" xfId="0" applyNumberFormat="1" applyFont="1"/>
    <xf numFmtId="181" fontId="17" fillId="21" borderId="12" xfId="0" applyNumberFormat="1" applyFont="1" applyFill="1" applyBorder="1"/>
    <xf numFmtId="0" fontId="15" fillId="5" borderId="36" xfId="0" applyFont="1" applyFill="1" applyBorder="1"/>
    <xf numFmtId="0" fontId="15" fillId="5" borderId="36" xfId="0" applyFont="1" applyFill="1" applyBorder="1" applyAlignment="1">
      <alignment wrapText="1"/>
    </xf>
    <xf numFmtId="0" fontId="15" fillId="5" borderId="0" xfId="0" applyFont="1" applyFill="1"/>
    <xf numFmtId="177" fontId="15" fillId="5" borderId="7" xfId="0" applyNumberFormat="1" applyFont="1" applyFill="1" applyBorder="1" applyAlignment="1">
      <alignment horizontal="right"/>
    </xf>
    <xf numFmtId="178" fontId="15" fillId="5" borderId="8" xfId="0" applyNumberFormat="1" applyFont="1" applyFill="1" applyBorder="1" applyAlignment="1">
      <alignment horizontal="right"/>
    </xf>
    <xf numFmtId="3" fontId="15" fillId="5" borderId="7" xfId="0" applyNumberFormat="1" applyFont="1" applyFill="1" applyBorder="1" applyAlignment="1">
      <alignment horizontal="right"/>
    </xf>
    <xf numFmtId="176" fontId="15" fillId="5" borderId="7" xfId="0" applyNumberFormat="1" applyFont="1" applyFill="1" applyBorder="1" applyAlignment="1">
      <alignment horizontal="right"/>
    </xf>
    <xf numFmtId="9" fontId="15" fillId="5" borderId="7" xfId="0" applyNumberFormat="1" applyFont="1" applyFill="1" applyBorder="1" applyAlignment="1">
      <alignment horizontal="right"/>
    </xf>
    <xf numFmtId="179" fontId="15" fillId="5" borderId="7" xfId="0" applyNumberFormat="1" applyFont="1" applyFill="1" applyBorder="1" applyAlignment="1">
      <alignment horizontal="right"/>
    </xf>
    <xf numFmtId="0" fontId="15" fillId="5" borderId="7" xfId="0" applyFont="1" applyFill="1" applyBorder="1"/>
    <xf numFmtId="0" fontId="15" fillId="0" borderId="0" xfId="0" applyFont="1" applyAlignment="1">
      <alignment wrapText="1"/>
    </xf>
    <xf numFmtId="0" fontId="15" fillId="0" borderId="40" xfId="0" applyFont="1" applyBorder="1" applyAlignment="1">
      <alignment wrapText="1"/>
    </xf>
    <xf numFmtId="0" fontId="15" fillId="0" borderId="24" xfId="0" applyFont="1" applyBorder="1" applyAlignment="1">
      <alignment wrapText="1"/>
    </xf>
    <xf numFmtId="0" fontId="15" fillId="0" borderId="30" xfId="0" applyFont="1" applyBorder="1"/>
    <xf numFmtId="177" fontId="15" fillId="0" borderId="30" xfId="0" applyNumberFormat="1" applyFont="1" applyBorder="1" applyAlignment="1">
      <alignment horizontal="right"/>
    </xf>
    <xf numFmtId="178" fontId="15" fillId="5" borderId="30" xfId="0" applyNumberFormat="1" applyFont="1" applyFill="1" applyBorder="1" applyAlignment="1">
      <alignment horizontal="right"/>
    </xf>
    <xf numFmtId="3" fontId="15" fillId="0" borderId="30" xfId="0" applyNumberFormat="1" applyFont="1" applyBorder="1" applyAlignment="1">
      <alignment horizontal="right"/>
    </xf>
    <xf numFmtId="182" fontId="15" fillId="0" borderId="30" xfId="0" applyNumberFormat="1" applyFont="1" applyBorder="1" applyAlignment="1">
      <alignment horizontal="right"/>
    </xf>
    <xf numFmtId="182" fontId="15" fillId="0" borderId="0" xfId="0" applyNumberFormat="1" applyFont="1"/>
    <xf numFmtId="3" fontId="15" fillId="0" borderId="0" xfId="0" applyNumberFormat="1" applyFont="1"/>
    <xf numFmtId="183" fontId="15" fillId="0" borderId="0" xfId="0" applyNumberFormat="1" applyFont="1"/>
    <xf numFmtId="10" fontId="15" fillId="0" borderId="0" xfId="0" applyNumberFormat="1" applyFont="1"/>
    <xf numFmtId="0" fontId="15" fillId="0" borderId="3" xfId="0" applyFont="1" applyBorder="1"/>
    <xf numFmtId="0" fontId="15" fillId="2" borderId="4" xfId="0" applyFont="1" applyFill="1" applyBorder="1"/>
    <xf numFmtId="0" fontId="15" fillId="0" borderId="1" xfId="0" applyFont="1" applyBorder="1"/>
    <xf numFmtId="10" fontId="15" fillId="4" borderId="1" xfId="0" applyNumberFormat="1" applyFont="1" applyFill="1" applyBorder="1" applyAlignment="1">
      <alignment horizontal="right"/>
    </xf>
    <xf numFmtId="177" fontId="15" fillId="0" borderId="1" xfId="0" applyNumberFormat="1" applyFont="1" applyBorder="1" applyAlignment="1">
      <alignment horizontal="right"/>
    </xf>
    <xf numFmtId="178" fontId="15" fillId="2" borderId="1" xfId="0" applyNumberFormat="1" applyFont="1" applyFill="1" applyBorder="1" applyAlignment="1">
      <alignment horizontal="right"/>
    </xf>
    <xf numFmtId="176" fontId="15" fillId="0" borderId="1" xfId="0" applyNumberFormat="1" applyFont="1" applyBorder="1" applyAlignment="1">
      <alignment horizontal="right"/>
    </xf>
    <xf numFmtId="179" fontId="15" fillId="0" borderId="1" xfId="0" applyNumberFormat="1" applyFont="1" applyBorder="1" applyAlignment="1">
      <alignment horizontal="right"/>
    </xf>
    <xf numFmtId="176" fontId="15" fillId="2" borderId="1" xfId="0" applyNumberFormat="1" applyFont="1" applyFill="1" applyBorder="1" applyAlignment="1">
      <alignment horizontal="right"/>
    </xf>
    <xf numFmtId="9" fontId="17" fillId="2" borderId="1" xfId="0" applyNumberFormat="1" applyFont="1" applyFill="1" applyBorder="1"/>
    <xf numFmtId="0" fontId="15" fillId="2" borderId="1" xfId="0" applyFont="1" applyFill="1" applyBorder="1" applyAlignment="1">
      <alignment horizontal="right"/>
    </xf>
    <xf numFmtId="0" fontId="2" fillId="0" borderId="17" xfId="0" applyFont="1" applyBorder="1"/>
    <xf numFmtId="0" fontId="0" fillId="0" borderId="15" xfId="0" applyBorder="1"/>
    <xf numFmtId="0" fontId="0" fillId="0" borderId="16" xfId="0" applyBorder="1"/>
    <xf numFmtId="0" fontId="2" fillId="0" borderId="16" xfId="0" applyFont="1" applyBorder="1" applyAlignment="1">
      <alignment vertical="center"/>
    </xf>
    <xf numFmtId="0" fontId="0" fillId="0" borderId="25" xfId="0" applyBorder="1"/>
    <xf numFmtId="0" fontId="0" fillId="0" borderId="28" xfId="0" applyBorder="1"/>
    <xf numFmtId="0" fontId="25" fillId="39" borderId="39" xfId="0" applyFont="1" applyFill="1" applyBorder="1" applyAlignment="1">
      <alignment horizontal="center" wrapText="1"/>
    </xf>
    <xf numFmtId="0" fontId="0" fillId="0" borderId="39" xfId="0" applyBorder="1"/>
  </cellXfs>
  <cellStyles count="1">
    <cellStyle name="標準" xfId="0" builtinId="0"/>
  </cellStyles>
  <dxfs count="5">
    <dxf>
      <fill>
        <patternFill patternType="solid">
          <fgColor rgb="FFB10202"/>
          <bgColor rgb="FFB10202"/>
        </patternFill>
      </fill>
    </dxf>
    <dxf>
      <fill>
        <patternFill patternType="solid">
          <fgColor rgb="FFCFBAD9"/>
          <bgColor rgb="FFCFBAD9"/>
        </patternFill>
      </fill>
    </dxf>
    <dxf>
      <fill>
        <patternFill patternType="solid">
          <fgColor rgb="FF13734B"/>
          <bgColor rgb="FF13734B"/>
        </patternFill>
      </fill>
    </dxf>
    <dxf>
      <fill>
        <patternFill patternType="solid">
          <fgColor rgb="FFFEE5A0"/>
          <bgColor rgb="FFFEE5A0"/>
        </patternFill>
      </fill>
    </dxf>
    <dxf>
      <fill>
        <patternFill patternType="solid">
          <fgColor rgb="FFBFE1F6"/>
          <bgColor rgb="FFBFE1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https://docs.google.com/presentation/d/1PHs-inbup7GF_o9Fcsdx-VlJBR1NiwXfMGuOFAXXJew/edit?slide=id.g35735bdbe87_0_0" TargetMode="External"/><Relationship Id="rId1" Type="http://schemas.openxmlformats.org/officeDocument/2006/relationships/hyperlink" Target="https://docs.google.com/presentation/d/1PHs-inbup7GF_o9Fcsdx-VlJBR1NiwXfMGuOFAXXJew/edit?slide=id.g35735bdbce1_2_2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4"/>
  <sheetViews>
    <sheetView showGridLines="0" tabSelected="1" workbookViewId="0">
      <selection activeCell="O8" sqref="O8"/>
    </sheetView>
  </sheetViews>
  <sheetFormatPr baseColWidth="10" defaultColWidth="12.6640625" defaultRowHeight="15.75" customHeight="1" x14ac:dyDescent="0.15"/>
  <cols>
    <col min="1" max="1" width="47.83203125" customWidth="1"/>
    <col min="2" max="2" width="3.6640625" customWidth="1"/>
    <col min="3" max="3" width="17.5" customWidth="1"/>
    <col min="4" max="4" width="15.6640625" customWidth="1"/>
    <col min="6" max="6" width="20.83203125" customWidth="1"/>
    <col min="11" max="11" width="14.33203125" customWidth="1"/>
    <col min="12" max="12" width="9.1640625" customWidth="1"/>
    <col min="13" max="13" width="14.33203125" customWidth="1"/>
    <col min="14" max="16" width="10.1640625" customWidth="1"/>
    <col min="17" max="17" width="4.6640625" customWidth="1"/>
    <col min="18" max="18" width="10.1640625" customWidth="1"/>
  </cols>
  <sheetData>
    <row r="1" spans="1:18" ht="15.75" customHeight="1" x14ac:dyDescent="0.25">
      <c r="A1" s="1" t="s">
        <v>0</v>
      </c>
      <c r="B1" s="2"/>
      <c r="C1" s="2"/>
      <c r="D1" s="2"/>
    </row>
    <row r="2" spans="1:18" ht="15.75" customHeight="1" x14ac:dyDescent="0.15">
      <c r="C2" s="3"/>
    </row>
    <row r="4" spans="1:18" ht="15.75" customHeight="1" x14ac:dyDescent="0.15">
      <c r="C4" s="4" t="s">
        <v>1</v>
      </c>
      <c r="D4" s="5" t="s">
        <v>2</v>
      </c>
      <c r="E4" s="5" t="s">
        <v>3</v>
      </c>
      <c r="F4" s="5" t="s">
        <v>4</v>
      </c>
      <c r="G4" s="5" t="s">
        <v>5</v>
      </c>
      <c r="H4" s="5" t="s">
        <v>6</v>
      </c>
      <c r="I4" s="5" t="s">
        <v>7</v>
      </c>
      <c r="J4" s="5" t="s">
        <v>8</v>
      </c>
      <c r="K4" s="5" t="s">
        <v>9</v>
      </c>
      <c r="L4" s="5" t="s">
        <v>10</v>
      </c>
      <c r="M4" s="5" t="s">
        <v>11</v>
      </c>
      <c r="N4" s="5" t="s">
        <v>12</v>
      </c>
      <c r="O4" s="5" t="s">
        <v>13</v>
      </c>
      <c r="P4" s="5" t="s">
        <v>14</v>
      </c>
      <c r="Q4" s="5" t="s">
        <v>15</v>
      </c>
      <c r="R4" s="5" t="s">
        <v>16</v>
      </c>
    </row>
    <row r="5" spans="1:18" ht="15.75" customHeight="1" x14ac:dyDescent="0.15">
      <c r="C5" s="415" t="s">
        <v>17</v>
      </c>
      <c r="D5" s="416" t="s">
        <v>18</v>
      </c>
      <c r="E5" s="417" t="s">
        <v>19</v>
      </c>
      <c r="F5" s="417" t="s">
        <v>20</v>
      </c>
      <c r="G5" s="417" t="s">
        <v>21</v>
      </c>
      <c r="H5" s="418">
        <v>2.7E-2</v>
      </c>
      <c r="I5" s="419">
        <f>$I$8*H5</f>
        <v>4050000</v>
      </c>
      <c r="J5" s="420">
        <v>3</v>
      </c>
      <c r="K5" s="421">
        <f>L5*M5</f>
        <v>400000</v>
      </c>
      <c r="L5" s="422">
        <v>4</v>
      </c>
      <c r="M5" s="423">
        <v>100000</v>
      </c>
      <c r="N5" s="424">
        <v>0.2</v>
      </c>
      <c r="O5" s="421">
        <f>K5*N5</f>
        <v>80000</v>
      </c>
      <c r="P5" s="419">
        <f>I5*1000/O5</f>
        <v>50625</v>
      </c>
      <c r="Q5" s="425">
        <v>1.1000000000000001</v>
      </c>
      <c r="R5" s="421">
        <f>O5/Q5</f>
        <v>72727.272727272721</v>
      </c>
    </row>
    <row r="6" spans="1:18" ht="15.75" customHeight="1" x14ac:dyDescent="0.15">
      <c r="C6" s="415" t="s">
        <v>22</v>
      </c>
      <c r="D6" s="416" t="s">
        <v>23</v>
      </c>
      <c r="E6" s="417" t="s">
        <v>22</v>
      </c>
      <c r="F6" s="417" t="s">
        <v>20</v>
      </c>
      <c r="G6" s="417" t="s">
        <v>21</v>
      </c>
      <c r="H6" s="418">
        <v>0.02</v>
      </c>
      <c r="I6" s="419">
        <f>$I$8*H6</f>
        <v>3000000</v>
      </c>
      <c r="J6" s="420"/>
      <c r="K6" s="421"/>
      <c r="L6" s="422"/>
      <c r="M6" s="423"/>
      <c r="N6" s="424"/>
      <c r="O6" s="421">
        <f>I6/P6*1000</f>
        <v>12000000</v>
      </c>
      <c r="P6" s="419">
        <v>250</v>
      </c>
      <c r="Q6" s="425">
        <v>2.5</v>
      </c>
      <c r="R6" s="421">
        <f>O6/Q6</f>
        <v>4800000</v>
      </c>
    </row>
    <row r="7" spans="1:18" ht="15.75" customHeight="1" x14ac:dyDescent="0.15">
      <c r="C7" s="415" t="s">
        <v>24</v>
      </c>
      <c r="D7" s="416" t="s">
        <v>24</v>
      </c>
      <c r="E7" s="417" t="s">
        <v>25</v>
      </c>
      <c r="F7" s="417" t="s">
        <v>20</v>
      </c>
      <c r="G7" s="417" t="s">
        <v>26</v>
      </c>
      <c r="H7" s="418">
        <v>4.0000000000000001E-3</v>
      </c>
      <c r="I7" s="419">
        <f>$I$8*H7</f>
        <v>600000</v>
      </c>
      <c r="J7" s="420">
        <v>3</v>
      </c>
      <c r="K7" s="421">
        <f>L7*M7</f>
        <v>15000000</v>
      </c>
      <c r="L7" s="422">
        <v>100</v>
      </c>
      <c r="M7" s="423">
        <v>150000</v>
      </c>
      <c r="N7" s="424">
        <v>0.2</v>
      </c>
      <c r="O7" s="421">
        <f>K7*N7</f>
        <v>3000000</v>
      </c>
      <c r="P7" s="419">
        <f>I7*1000/O7</f>
        <v>200</v>
      </c>
      <c r="Q7" s="425">
        <v>1.1000000000000001</v>
      </c>
      <c r="R7" s="421">
        <f>O7/Q7</f>
        <v>2727272.7272727271</v>
      </c>
    </row>
    <row r="8" spans="1:18" ht="15.75" customHeight="1" x14ac:dyDescent="0.15">
      <c r="C8" s="11" t="s">
        <v>27</v>
      </c>
      <c r="D8" s="11"/>
      <c r="E8" s="12"/>
      <c r="F8" s="12"/>
      <c r="G8" s="12"/>
      <c r="H8" s="13">
        <f>SUM(H5:H7)</f>
        <v>5.1000000000000004E-2</v>
      </c>
      <c r="I8" s="14">
        <v>150000000</v>
      </c>
      <c r="J8" s="12"/>
      <c r="K8" s="15">
        <f>SUM(K5:K7)</f>
        <v>15400000</v>
      </c>
      <c r="L8" s="15">
        <f>SUM(L5:L7)</f>
        <v>104</v>
      </c>
      <c r="M8" s="12"/>
      <c r="N8" s="12"/>
      <c r="O8" s="15">
        <f>SUM(O5:O7)</f>
        <v>15080000</v>
      </c>
      <c r="P8" s="12"/>
      <c r="Q8" s="12"/>
      <c r="R8" s="15">
        <f>SUM(R5:R7)</f>
        <v>7600000</v>
      </c>
    </row>
    <row r="9" spans="1:18" ht="15.75" customHeight="1" x14ac:dyDescent="0.15">
      <c r="C9" s="16"/>
      <c r="D9" s="16"/>
      <c r="E9" s="16"/>
      <c r="F9" s="16"/>
      <c r="G9" s="16"/>
      <c r="H9" s="17"/>
      <c r="I9" s="18"/>
      <c r="J9" s="16"/>
      <c r="K9" s="3"/>
      <c r="L9" s="3"/>
      <c r="M9" s="16"/>
      <c r="N9" s="16"/>
      <c r="O9" s="3"/>
      <c r="P9" s="16"/>
      <c r="Q9" s="16"/>
      <c r="R9" s="3"/>
    </row>
    <row r="10" spans="1:18" ht="15.75" customHeight="1" x14ac:dyDescent="0.15">
      <c r="D10" s="16" t="s">
        <v>28</v>
      </c>
      <c r="E10" s="16"/>
      <c r="F10" s="16"/>
      <c r="G10" s="16"/>
      <c r="H10" s="16"/>
      <c r="I10" s="16"/>
      <c r="J10" s="16"/>
      <c r="K10" s="16"/>
      <c r="L10" s="16"/>
      <c r="M10" s="16"/>
      <c r="N10" s="16"/>
      <c r="O10" s="16"/>
      <c r="P10" s="16"/>
      <c r="Q10" s="16"/>
      <c r="R10" s="16"/>
    </row>
    <row r="11" spans="1:18" ht="15.75" customHeight="1" x14ac:dyDescent="0.15">
      <c r="D11" s="19"/>
      <c r="E11" s="19"/>
      <c r="F11" s="19"/>
      <c r="G11" s="19"/>
      <c r="H11" s="19"/>
      <c r="I11" s="19"/>
      <c r="J11" s="19"/>
      <c r="K11" s="19"/>
      <c r="L11" s="19"/>
      <c r="M11" s="19"/>
      <c r="N11" s="19"/>
      <c r="O11" s="19"/>
      <c r="P11" s="19"/>
      <c r="Q11" s="19"/>
      <c r="R11" s="19"/>
    </row>
    <row r="12" spans="1:18" ht="15.75" customHeight="1" x14ac:dyDescent="0.15">
      <c r="D12" s="19"/>
      <c r="E12" s="19"/>
      <c r="F12" s="19"/>
      <c r="G12" s="19"/>
      <c r="H12" s="19"/>
      <c r="I12" s="19"/>
      <c r="J12" s="19"/>
      <c r="K12" s="19"/>
      <c r="L12" s="19"/>
      <c r="M12" s="19"/>
      <c r="N12" s="19"/>
      <c r="O12" s="19"/>
      <c r="P12" s="19"/>
      <c r="Q12" s="19"/>
      <c r="R12" s="19"/>
    </row>
    <row r="13" spans="1:18" ht="15.75" customHeight="1" x14ac:dyDescent="0.15">
      <c r="D13" s="16"/>
      <c r="E13" s="16"/>
      <c r="F13" s="16"/>
      <c r="G13" s="16"/>
      <c r="H13" s="16"/>
      <c r="I13" s="16"/>
      <c r="J13" s="16"/>
      <c r="K13" s="16"/>
      <c r="L13" s="16"/>
      <c r="M13" s="16"/>
      <c r="N13" s="16"/>
      <c r="O13" s="16"/>
      <c r="P13" s="16"/>
      <c r="Q13" s="16"/>
      <c r="R13" s="16"/>
    </row>
    <row r="14" spans="1:18" ht="15.75" customHeight="1" x14ac:dyDescent="0.15">
      <c r="D14" s="16"/>
      <c r="E14" s="16"/>
      <c r="F14" s="16"/>
      <c r="G14" s="16"/>
      <c r="H14" s="16"/>
      <c r="I14" s="16"/>
      <c r="J14" s="16"/>
      <c r="K14" s="16"/>
      <c r="L14" s="16"/>
      <c r="M14" s="16"/>
      <c r="N14" s="16"/>
      <c r="O14" s="16"/>
      <c r="P14" s="16"/>
      <c r="Q14" s="16"/>
      <c r="R14" s="16"/>
    </row>
  </sheetData>
  <phoneticPr fontId="26"/>
  <conditionalFormatting sqref="H5:H15">
    <cfRule type="colorScale" priority="1">
      <colorScale>
        <cfvo type="min"/>
        <cfvo type="percentile" val="50"/>
        <cfvo type="max"/>
        <color rgb="FFE67C73"/>
        <color rgb="FFFFFFFF"/>
        <color rgb="FF57BB8A"/>
      </colorScale>
    </cfRule>
  </conditionalFormatting>
  <dataValidations count="4">
    <dataValidation type="list" allowBlank="1" showErrorMessage="1" sqref="C5:C15" xr:uid="{00000000-0002-0000-0000-000000000000}">
      <formula1>"施策A,施策B,施策C,施策D,施策E"</formula1>
    </dataValidation>
    <dataValidation type="list" allowBlank="1" showErrorMessage="1" sqref="E5:E15" xr:uid="{00000000-0002-0000-0000-000001000000}">
      <formula1>"配信無,配信有,広告配信"</formula1>
    </dataValidation>
    <dataValidation type="list" allowBlank="1" showErrorMessage="1" sqref="F5:F15" xr:uid="{00000000-0002-0000-0000-000002000000}">
      <formula1>"イノベーター,アーリーアダプター,アーリーマジョリティ,レイトマジョリティ"</formula1>
    </dataValidation>
    <dataValidation type="list" allowBlank="1" showErrorMessage="1" sqref="G5:G15" xr:uid="{00000000-0002-0000-0000-000003000000}">
      <formula1>"X,IG Feed,IG Reel,YouTube,Instagram,TikTok,ALL"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49"/>
  <sheetViews>
    <sheetView showGridLines="0" workbookViewId="0">
      <pane xSplit="6" ySplit="2" topLeftCell="G3" activePane="bottomRight" state="frozen"/>
      <selection pane="topRight" activeCell="G1" sqref="G1"/>
      <selection pane="bottomLeft" activeCell="A3" sqref="A3"/>
      <selection pane="bottomRight" activeCell="G3" sqref="G3"/>
    </sheetView>
  </sheetViews>
  <sheetFormatPr baseColWidth="10" defaultColWidth="12.6640625" defaultRowHeight="15.75" customHeight="1" outlineLevelRow="1" outlineLevelCol="1" x14ac:dyDescent="0.15"/>
  <cols>
    <col min="1" max="1" width="3.6640625" customWidth="1"/>
    <col min="2" max="2" width="19.1640625" customWidth="1"/>
    <col min="3" max="3" width="13.5" customWidth="1"/>
    <col min="4" max="4" width="35.33203125" customWidth="1"/>
    <col min="6" max="6" width="15.83203125" customWidth="1"/>
    <col min="8" max="8" width="13.1640625" customWidth="1"/>
    <col min="10" max="10" width="14.33203125" customWidth="1"/>
    <col min="12" max="12" width="14.33203125" customWidth="1"/>
    <col min="19" max="21" width="12.6640625" customWidth="1" outlineLevel="1"/>
    <col min="23" max="25" width="12.6640625" customWidth="1" outlineLevel="1"/>
    <col min="27" max="29" width="12.6640625" customWidth="1" outlineLevel="1"/>
    <col min="31" max="33" width="12.6640625" customWidth="1" outlineLevel="1"/>
    <col min="35" max="36" width="18.33203125" customWidth="1"/>
    <col min="37" max="37" width="3.6640625" customWidth="1" outlineLevel="1"/>
    <col min="38" max="40" width="16.1640625" customWidth="1" outlineLevel="1"/>
  </cols>
  <sheetData>
    <row r="1" spans="1:40" ht="28" customHeight="1" x14ac:dyDescent="0.15">
      <c r="A1" s="20"/>
      <c r="B1" s="21" t="s">
        <v>4</v>
      </c>
      <c r="C1" s="22" t="s">
        <v>29</v>
      </c>
      <c r="D1" s="22" t="s">
        <v>30</v>
      </c>
      <c r="E1" s="21" t="s">
        <v>3</v>
      </c>
      <c r="F1" s="21" t="s">
        <v>5</v>
      </c>
      <c r="G1" s="21" t="s">
        <v>6</v>
      </c>
      <c r="H1" s="21" t="s">
        <v>7</v>
      </c>
      <c r="I1" s="21" t="s">
        <v>8</v>
      </c>
      <c r="J1" s="21" t="s">
        <v>9</v>
      </c>
      <c r="K1" s="21" t="s">
        <v>10</v>
      </c>
      <c r="L1" s="21" t="s">
        <v>11</v>
      </c>
      <c r="M1" s="21" t="s">
        <v>12</v>
      </c>
      <c r="N1" s="21" t="s">
        <v>13</v>
      </c>
      <c r="O1" s="21" t="s">
        <v>14</v>
      </c>
      <c r="P1" s="23" t="s">
        <v>15</v>
      </c>
      <c r="Q1" s="21" t="s">
        <v>16</v>
      </c>
      <c r="R1" s="24" t="s">
        <v>31</v>
      </c>
      <c r="S1" s="24"/>
      <c r="T1" s="24"/>
      <c r="U1" s="24"/>
      <c r="V1" s="25" t="s">
        <v>32</v>
      </c>
      <c r="W1" s="25"/>
      <c r="X1" s="25"/>
      <c r="Y1" s="25"/>
      <c r="Z1" s="26" t="s">
        <v>33</v>
      </c>
      <c r="AA1" s="26"/>
      <c r="AB1" s="26"/>
      <c r="AC1" s="26"/>
      <c r="AD1" s="27" t="s">
        <v>34</v>
      </c>
      <c r="AE1" s="27"/>
      <c r="AF1" s="27"/>
      <c r="AG1" s="27"/>
      <c r="AH1" s="28" t="s">
        <v>35</v>
      </c>
      <c r="AI1" s="29" t="s">
        <v>36</v>
      </c>
      <c r="AJ1" s="29" t="s">
        <v>37</v>
      </c>
      <c r="AK1" s="29"/>
      <c r="AL1" s="30"/>
      <c r="AM1" s="30"/>
      <c r="AN1" s="30"/>
    </row>
    <row r="2" spans="1:40" ht="13" customHeight="1" x14ac:dyDescent="0.15">
      <c r="A2" s="16"/>
      <c r="P2" s="31"/>
      <c r="R2" s="32" t="s">
        <v>27</v>
      </c>
      <c r="S2" s="32" t="s">
        <v>38</v>
      </c>
      <c r="T2" s="32" t="s">
        <v>39</v>
      </c>
      <c r="U2" s="32" t="s">
        <v>40</v>
      </c>
      <c r="V2" s="33" t="s">
        <v>27</v>
      </c>
      <c r="W2" s="33" t="s">
        <v>38</v>
      </c>
      <c r="X2" s="33" t="s">
        <v>39</v>
      </c>
      <c r="Y2" s="33" t="s">
        <v>40</v>
      </c>
      <c r="Z2" s="34" t="s">
        <v>41</v>
      </c>
      <c r="AA2" s="35" t="s">
        <v>38</v>
      </c>
      <c r="AB2" s="35" t="s">
        <v>39</v>
      </c>
      <c r="AC2" s="35" t="s">
        <v>40</v>
      </c>
      <c r="AD2" s="36" t="s">
        <v>41</v>
      </c>
      <c r="AE2" s="37" t="s">
        <v>38</v>
      </c>
      <c r="AF2" s="37" t="s">
        <v>39</v>
      </c>
      <c r="AG2" s="37" t="s">
        <v>40</v>
      </c>
      <c r="AH2" s="38">
        <v>2200</v>
      </c>
      <c r="AI2" s="39" t="s">
        <v>27</v>
      </c>
      <c r="AJ2" s="39"/>
      <c r="AK2" s="39"/>
      <c r="AL2" s="39" t="s">
        <v>38</v>
      </c>
      <c r="AM2" s="39" t="s">
        <v>39</v>
      </c>
      <c r="AN2" s="39" t="s">
        <v>40</v>
      </c>
    </row>
    <row r="3" spans="1:40" ht="13" customHeight="1" x14ac:dyDescent="0.15">
      <c r="A3" s="16"/>
      <c r="B3" s="40" t="s">
        <v>42</v>
      </c>
      <c r="C3" s="41">
        <v>45479</v>
      </c>
      <c r="D3" s="40" t="s">
        <v>43</v>
      </c>
      <c r="E3" s="40" t="s">
        <v>25</v>
      </c>
      <c r="F3" s="40" t="s">
        <v>44</v>
      </c>
      <c r="G3" s="42">
        <v>0.01</v>
      </c>
      <c r="H3" s="43">
        <f>G3*$H$48</f>
        <v>1500000</v>
      </c>
      <c r="I3" s="44"/>
      <c r="J3" s="44"/>
      <c r="K3" s="44"/>
      <c r="L3" s="44"/>
      <c r="M3" s="44"/>
      <c r="N3" s="45">
        <v>20000</v>
      </c>
      <c r="O3" s="43">
        <f>H3*1000/N3</f>
        <v>75000</v>
      </c>
      <c r="P3" s="46">
        <v>1</v>
      </c>
      <c r="Q3" s="47">
        <f>N3/P3</f>
        <v>20000</v>
      </c>
      <c r="R3" s="48">
        <f>SUM(S3:U3)</f>
        <v>0.77</v>
      </c>
      <c r="S3" s="48">
        <v>0.04</v>
      </c>
      <c r="T3" s="48">
        <v>0.37</v>
      </c>
      <c r="U3" s="48">
        <v>0.36</v>
      </c>
      <c r="V3" s="49">
        <f>SUM(W3:Y3)</f>
        <v>15400</v>
      </c>
      <c r="W3" s="49">
        <f t="shared" ref="W3:Y6" si="0">$Q3*S3</f>
        <v>800</v>
      </c>
      <c r="X3" s="49">
        <f t="shared" si="0"/>
        <v>7400</v>
      </c>
      <c r="Y3" s="49">
        <f t="shared" si="0"/>
        <v>7200</v>
      </c>
      <c r="Z3" s="50">
        <f>AVERAGE(AA3:AC3)</f>
        <v>1.7499999999999998E-3</v>
      </c>
      <c r="AA3" s="51">
        <v>2E-3</v>
      </c>
      <c r="AB3" s="51">
        <v>1.75E-3</v>
      </c>
      <c r="AC3" s="51">
        <v>1.5E-3</v>
      </c>
      <c r="AD3" s="52">
        <f>AVERAGE(AE3:AG3)</f>
        <v>0.40000000000000008</v>
      </c>
      <c r="AE3" s="48">
        <v>0.4</v>
      </c>
      <c r="AF3" s="48">
        <v>0.4</v>
      </c>
      <c r="AG3" s="48">
        <v>0.4</v>
      </c>
      <c r="AH3" s="53">
        <v>2200</v>
      </c>
      <c r="AI3" s="53">
        <f>SUM(AL3:AN3)</f>
        <v>22308</v>
      </c>
      <c r="AJ3" s="49">
        <f>AI3/$AH$10</f>
        <v>10.14</v>
      </c>
      <c r="AK3" s="40"/>
      <c r="AL3" s="53">
        <f t="shared" ref="AL3:AN6" si="1">W3*AA3*AE3*$AH$2</f>
        <v>1408.0000000000002</v>
      </c>
      <c r="AM3" s="53">
        <f t="shared" si="1"/>
        <v>11396.000000000002</v>
      </c>
      <c r="AN3" s="53">
        <f t="shared" si="1"/>
        <v>9504</v>
      </c>
    </row>
    <row r="4" spans="1:40" ht="13" customHeight="1" x14ac:dyDescent="0.15">
      <c r="A4" s="16"/>
      <c r="B4" s="54" t="s">
        <v>42</v>
      </c>
      <c r="C4" s="55">
        <v>45479</v>
      </c>
      <c r="D4" s="54" t="s">
        <v>45</v>
      </c>
      <c r="E4" s="54" t="s">
        <v>25</v>
      </c>
      <c r="F4" s="40" t="s">
        <v>44</v>
      </c>
      <c r="G4" s="56">
        <v>0.02</v>
      </c>
      <c r="H4" s="57">
        <f>G4*$H$48</f>
        <v>3000000</v>
      </c>
      <c r="I4" s="44"/>
      <c r="J4" s="44"/>
      <c r="K4" s="44"/>
      <c r="L4" s="44"/>
      <c r="M4" s="44"/>
      <c r="N4" s="45">
        <v>7000</v>
      </c>
      <c r="O4" s="43">
        <f>H4*1000/N4</f>
        <v>428571.42857142858</v>
      </c>
      <c r="P4" s="46">
        <v>1</v>
      </c>
      <c r="Q4" s="47">
        <f>N4/P4</f>
        <v>7000</v>
      </c>
      <c r="R4" s="48">
        <f>SUM(S4:U4)</f>
        <v>0.8</v>
      </c>
      <c r="S4" s="58">
        <v>0.05</v>
      </c>
      <c r="T4" s="58">
        <v>0.25</v>
      </c>
      <c r="U4" s="58">
        <v>0.5</v>
      </c>
      <c r="V4" s="49">
        <f>SUM(W4:Y4)</f>
        <v>5600</v>
      </c>
      <c r="W4" s="49">
        <f t="shared" si="0"/>
        <v>350</v>
      </c>
      <c r="X4" s="49">
        <f t="shared" si="0"/>
        <v>1750</v>
      </c>
      <c r="Y4" s="49">
        <f t="shared" si="0"/>
        <v>3500</v>
      </c>
      <c r="Z4" s="50">
        <f>AVERAGE(AA4:AC4)</f>
        <v>1.7499999999999998E-3</v>
      </c>
      <c r="AA4" s="51">
        <v>2E-3</v>
      </c>
      <c r="AB4" s="51">
        <v>1.75E-3</v>
      </c>
      <c r="AC4" s="51">
        <v>1.5E-3</v>
      </c>
      <c r="AD4" s="52">
        <f>AVERAGE(AE4:AG4)</f>
        <v>0.40000000000000008</v>
      </c>
      <c r="AE4" s="48">
        <v>0.4</v>
      </c>
      <c r="AF4" s="48">
        <v>0.4</v>
      </c>
      <c r="AG4" s="48">
        <v>0.4</v>
      </c>
      <c r="AH4" s="53">
        <v>2200</v>
      </c>
      <c r="AI4" s="53">
        <f>SUM(AL4:AN4)</f>
        <v>7931</v>
      </c>
      <c r="AJ4" s="49">
        <f>AI4/$AH$10</f>
        <v>3.605</v>
      </c>
      <c r="AK4" s="54"/>
      <c r="AL4" s="53">
        <f t="shared" si="1"/>
        <v>616.00000000000011</v>
      </c>
      <c r="AM4" s="53">
        <f t="shared" si="1"/>
        <v>2695</v>
      </c>
      <c r="AN4" s="53">
        <f t="shared" si="1"/>
        <v>4620</v>
      </c>
    </row>
    <row r="5" spans="1:40" ht="13" customHeight="1" x14ac:dyDescent="0.15">
      <c r="A5" s="16"/>
      <c r="B5" s="54" t="s">
        <v>42</v>
      </c>
      <c r="C5" s="55">
        <v>45479</v>
      </c>
      <c r="D5" s="54" t="s">
        <v>46</v>
      </c>
      <c r="E5" s="54" t="s">
        <v>25</v>
      </c>
      <c r="F5" s="54" t="s">
        <v>44</v>
      </c>
      <c r="G5" s="56">
        <v>0.02</v>
      </c>
      <c r="H5" s="57">
        <f>G5*$H$48</f>
        <v>3000000</v>
      </c>
      <c r="I5" s="44"/>
      <c r="J5" s="44"/>
      <c r="K5" s="44"/>
      <c r="L5" s="44"/>
      <c r="M5" s="44"/>
      <c r="N5" s="45">
        <v>7000</v>
      </c>
      <c r="O5" s="43">
        <f>H5*1000/N5</f>
        <v>428571.42857142858</v>
      </c>
      <c r="P5" s="46">
        <v>1</v>
      </c>
      <c r="Q5" s="47">
        <f>N5/P5</f>
        <v>7000</v>
      </c>
      <c r="R5" s="48">
        <f>SUM(S5:U5)</f>
        <v>0.72</v>
      </c>
      <c r="S5" s="58">
        <v>0.14000000000000001</v>
      </c>
      <c r="T5" s="58">
        <v>0.33</v>
      </c>
      <c r="U5" s="58">
        <v>0.25</v>
      </c>
      <c r="V5" s="49">
        <f>SUM(W5:Y5)</f>
        <v>5040</v>
      </c>
      <c r="W5" s="49">
        <f t="shared" si="0"/>
        <v>980.00000000000011</v>
      </c>
      <c r="X5" s="49">
        <f t="shared" si="0"/>
        <v>2310</v>
      </c>
      <c r="Y5" s="49">
        <f t="shared" si="0"/>
        <v>1750</v>
      </c>
      <c r="Z5" s="50">
        <f>AVERAGE(AA5:AC5)</f>
        <v>1.7499999999999998E-3</v>
      </c>
      <c r="AA5" s="51">
        <v>2E-3</v>
      </c>
      <c r="AB5" s="51">
        <v>1.75E-3</v>
      </c>
      <c r="AC5" s="51">
        <v>1.5E-3</v>
      </c>
      <c r="AD5" s="52">
        <f>AVERAGE(AE5:AG5)</f>
        <v>0.40000000000000008</v>
      </c>
      <c r="AE5" s="48">
        <v>0.4</v>
      </c>
      <c r="AF5" s="48">
        <v>0.4</v>
      </c>
      <c r="AG5" s="48">
        <v>0.4</v>
      </c>
      <c r="AH5" s="53">
        <v>2200</v>
      </c>
      <c r="AI5" s="53">
        <f>SUM(AL5:AN5)</f>
        <v>7592.2000000000007</v>
      </c>
      <c r="AJ5" s="49">
        <f>AI5/$AH$10</f>
        <v>3.4510000000000005</v>
      </c>
      <c r="AK5" s="54"/>
      <c r="AL5" s="53">
        <f t="shared" si="1"/>
        <v>1724.8000000000004</v>
      </c>
      <c r="AM5" s="53">
        <f t="shared" si="1"/>
        <v>3557.4000000000005</v>
      </c>
      <c r="AN5" s="53">
        <f t="shared" si="1"/>
        <v>2310</v>
      </c>
    </row>
    <row r="6" spans="1:40" ht="13" customHeight="1" x14ac:dyDescent="0.15">
      <c r="A6" s="16"/>
      <c r="B6" s="54" t="s">
        <v>20</v>
      </c>
      <c r="C6" s="55">
        <v>45479</v>
      </c>
      <c r="D6" s="54" t="s">
        <v>47</v>
      </c>
      <c r="E6" s="54" t="s">
        <v>22</v>
      </c>
      <c r="F6" s="54" t="s">
        <v>48</v>
      </c>
      <c r="G6" s="56">
        <v>0.05</v>
      </c>
      <c r="H6" s="57">
        <v>3000000</v>
      </c>
      <c r="I6" s="44"/>
      <c r="J6" s="44"/>
      <c r="K6" s="44"/>
      <c r="L6" s="44"/>
      <c r="M6" s="44"/>
      <c r="N6" s="59">
        <f>H6/O6*1000</f>
        <v>20000000</v>
      </c>
      <c r="O6" s="57">
        <v>150</v>
      </c>
      <c r="P6" s="60">
        <v>2.5</v>
      </c>
      <c r="Q6" s="47">
        <f>N6/P6</f>
        <v>8000000</v>
      </c>
      <c r="R6" s="48">
        <f>SUM(S6:U6)</f>
        <v>0.72</v>
      </c>
      <c r="S6" s="58">
        <v>0.14000000000000001</v>
      </c>
      <c r="T6" s="58">
        <v>0.33</v>
      </c>
      <c r="U6" s="58">
        <v>0.25</v>
      </c>
      <c r="V6" s="49">
        <f>SUM(W6:Y6)</f>
        <v>5760000</v>
      </c>
      <c r="W6" s="49">
        <f t="shared" si="0"/>
        <v>1120000</v>
      </c>
      <c r="X6" s="49">
        <f t="shared" si="0"/>
        <v>2640000</v>
      </c>
      <c r="Y6" s="49">
        <f t="shared" si="0"/>
        <v>2000000</v>
      </c>
      <c r="Z6" s="50">
        <f>AVERAGE(AA6:AC6)</f>
        <v>1.7499999999999998E-3</v>
      </c>
      <c r="AA6" s="51">
        <v>2E-3</v>
      </c>
      <c r="AB6" s="51">
        <v>1.75E-3</v>
      </c>
      <c r="AC6" s="51">
        <v>1.5E-3</v>
      </c>
      <c r="AD6" s="52">
        <f>AVERAGE(AE6:AG6)</f>
        <v>0.40000000000000008</v>
      </c>
      <c r="AE6" s="48">
        <v>0.4</v>
      </c>
      <c r="AF6" s="48">
        <v>0.4</v>
      </c>
      <c r="AG6" s="48">
        <v>0.4</v>
      </c>
      <c r="AH6" s="53">
        <v>2200</v>
      </c>
      <c r="AI6" s="53">
        <f>SUM(AL6:AN6)</f>
        <v>8676800</v>
      </c>
      <c r="AJ6" s="49">
        <f>AI6/$AH$10</f>
        <v>3944</v>
      </c>
      <c r="AK6" s="54"/>
      <c r="AL6" s="53">
        <f t="shared" si="1"/>
        <v>1971200</v>
      </c>
      <c r="AM6" s="53">
        <f t="shared" si="1"/>
        <v>4065600</v>
      </c>
      <c r="AN6" s="53">
        <f t="shared" si="1"/>
        <v>2640000</v>
      </c>
    </row>
    <row r="7" spans="1:40" ht="13" customHeight="1" x14ac:dyDescent="0.15">
      <c r="A7" s="16"/>
      <c r="B7" s="54" t="s">
        <v>20</v>
      </c>
      <c r="C7" s="55">
        <v>45479</v>
      </c>
      <c r="D7" s="54" t="s">
        <v>24</v>
      </c>
      <c r="E7" s="54" t="s">
        <v>25</v>
      </c>
      <c r="F7" s="54" t="s">
        <v>26</v>
      </c>
      <c r="G7" s="61">
        <v>1.4999999999999999E-2</v>
      </c>
      <c r="H7" s="57">
        <f t="shared" ref="H7:H22" si="2">G7*$H$48</f>
        <v>2250000</v>
      </c>
      <c r="I7" s="44"/>
      <c r="J7" s="44"/>
      <c r="K7" s="46">
        <v>200</v>
      </c>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row>
    <row r="8" spans="1:40" ht="13" customHeight="1" x14ac:dyDescent="0.15">
      <c r="A8" s="16"/>
      <c r="B8" s="62" t="s">
        <v>42</v>
      </c>
      <c r="C8" s="63">
        <v>45479</v>
      </c>
      <c r="D8" s="62" t="s">
        <v>49</v>
      </c>
      <c r="E8" s="62" t="s">
        <v>25</v>
      </c>
      <c r="F8" s="62" t="s">
        <v>50</v>
      </c>
      <c r="G8" s="64">
        <v>0.02</v>
      </c>
      <c r="H8" s="65">
        <f t="shared" si="2"/>
        <v>3000000</v>
      </c>
      <c r="I8" s="66"/>
      <c r="J8" s="66"/>
      <c r="K8" s="46">
        <v>30</v>
      </c>
      <c r="L8" s="66"/>
      <c r="M8" s="66"/>
      <c r="N8" s="66"/>
      <c r="O8" s="66"/>
      <c r="P8" s="67"/>
      <c r="Q8" s="66"/>
      <c r="R8" s="66"/>
      <c r="S8" s="66"/>
      <c r="T8" s="66"/>
      <c r="U8" s="66"/>
      <c r="V8" s="66"/>
      <c r="W8" s="66"/>
      <c r="X8" s="66"/>
      <c r="Y8" s="66"/>
      <c r="Z8" s="66"/>
      <c r="AA8" s="66"/>
      <c r="AB8" s="66"/>
      <c r="AC8" s="66"/>
      <c r="AD8" s="66"/>
      <c r="AE8" s="66"/>
      <c r="AF8" s="66"/>
      <c r="AG8" s="66"/>
      <c r="AH8" s="66"/>
      <c r="AI8" s="66"/>
      <c r="AJ8" s="66"/>
      <c r="AK8" s="66"/>
      <c r="AL8" s="66"/>
      <c r="AM8" s="66"/>
      <c r="AN8" s="66"/>
    </row>
    <row r="9" spans="1:40" ht="13" customHeight="1" x14ac:dyDescent="0.15">
      <c r="A9" s="16"/>
      <c r="B9" s="62" t="s">
        <v>42</v>
      </c>
      <c r="C9" s="63">
        <v>45479</v>
      </c>
      <c r="D9" s="62" t="s">
        <v>49</v>
      </c>
      <c r="E9" s="62" t="s">
        <v>25</v>
      </c>
      <c r="F9" s="62" t="s">
        <v>50</v>
      </c>
      <c r="G9" s="64">
        <v>0.02</v>
      </c>
      <c r="H9" s="65">
        <f t="shared" si="2"/>
        <v>3000000</v>
      </c>
      <c r="I9" s="66"/>
      <c r="J9" s="66"/>
      <c r="K9" s="46">
        <v>30</v>
      </c>
      <c r="L9" s="66"/>
      <c r="M9" s="66"/>
      <c r="N9" s="66"/>
      <c r="O9" s="66"/>
      <c r="P9" s="67"/>
      <c r="Q9" s="66"/>
      <c r="R9" s="66"/>
      <c r="S9" s="66"/>
      <c r="T9" s="66"/>
      <c r="U9" s="66"/>
      <c r="V9" s="66"/>
      <c r="W9" s="66"/>
      <c r="X9" s="66"/>
      <c r="Y9" s="66"/>
      <c r="Z9" s="66"/>
      <c r="AA9" s="66"/>
      <c r="AB9" s="66"/>
      <c r="AC9" s="66"/>
      <c r="AD9" s="66"/>
      <c r="AE9" s="66"/>
      <c r="AF9" s="66"/>
      <c r="AG9" s="66"/>
      <c r="AH9" s="66"/>
      <c r="AI9" s="66"/>
      <c r="AJ9" s="66"/>
      <c r="AK9" s="66"/>
      <c r="AL9" s="66"/>
      <c r="AM9" s="66"/>
      <c r="AN9" s="66"/>
    </row>
    <row r="10" spans="1:40" ht="13" customHeight="1" x14ac:dyDescent="0.15">
      <c r="A10" s="40"/>
      <c r="B10" s="16" t="s">
        <v>20</v>
      </c>
      <c r="C10" s="68" t="s">
        <v>51</v>
      </c>
      <c r="D10" s="40" t="s">
        <v>18</v>
      </c>
      <c r="E10" s="69" t="s">
        <v>19</v>
      </c>
      <c r="F10" s="70" t="s">
        <v>21</v>
      </c>
      <c r="G10" s="71">
        <v>2.6666666666666668E-2</v>
      </c>
      <c r="H10" s="43">
        <f t="shared" si="2"/>
        <v>4000000.0000000005</v>
      </c>
      <c r="I10" s="72">
        <v>3</v>
      </c>
      <c r="J10" s="45">
        <f>H10/I10</f>
        <v>1333333.3333333335</v>
      </c>
      <c r="K10" s="46">
        <f>J10/L10</f>
        <v>13.333333333333336</v>
      </c>
      <c r="L10" s="45">
        <v>100000</v>
      </c>
      <c r="M10" s="73">
        <v>0.2</v>
      </c>
      <c r="N10" s="45">
        <f>J10*M10</f>
        <v>266666.66666666669</v>
      </c>
      <c r="O10" s="43">
        <f>H10*1000/N10</f>
        <v>15000</v>
      </c>
      <c r="P10" s="46">
        <v>1.1000000000000001</v>
      </c>
      <c r="Q10" s="45">
        <f t="shared" ref="Q10:Q21" si="3">N10/P10</f>
        <v>242424.24242424243</v>
      </c>
      <c r="R10" s="48">
        <f t="shared" ref="R10:R21" si="4">SUM(S10:U10)</f>
        <v>1</v>
      </c>
      <c r="S10" s="48">
        <v>0.2</v>
      </c>
      <c r="T10" s="48">
        <v>0.4</v>
      </c>
      <c r="U10" s="48">
        <v>0.4</v>
      </c>
      <c r="V10" s="49">
        <f t="shared" ref="V10:V21" si="5">SUM(W10:Y10)</f>
        <v>242424.24242424243</v>
      </c>
      <c r="W10" s="49">
        <f t="shared" ref="W10:W21" si="6">$Q10*S10</f>
        <v>48484.848484848488</v>
      </c>
      <c r="X10" s="49">
        <f t="shared" ref="X10:X21" si="7">$Q10*T10</f>
        <v>96969.696969696975</v>
      </c>
      <c r="Y10" s="49">
        <f t="shared" ref="Y10:Y21" si="8">$Q10*U10</f>
        <v>96969.696969696975</v>
      </c>
      <c r="Z10" s="50">
        <f t="shared" ref="Z10:Z21" si="9">AVERAGE(AA10:AC10)</f>
        <v>2.5000000000000001E-3</v>
      </c>
      <c r="AA10" s="51">
        <v>3.0000000000000001E-3</v>
      </c>
      <c r="AB10" s="51">
        <v>2.5000000000000001E-3</v>
      </c>
      <c r="AC10" s="51">
        <v>2E-3</v>
      </c>
      <c r="AD10" s="48">
        <f t="shared" ref="AD10:AD21" si="10">AVERAGE(AE10:AG10)</f>
        <v>0.40000000000000008</v>
      </c>
      <c r="AE10" s="48">
        <v>0.4</v>
      </c>
      <c r="AF10" s="48">
        <v>0.4</v>
      </c>
      <c r="AG10" s="48">
        <v>0.4</v>
      </c>
      <c r="AH10" s="53">
        <v>2200</v>
      </c>
      <c r="AI10" s="53">
        <f t="shared" ref="AI10:AI21" si="11">SUM(AL10:AN10)</f>
        <v>512000.00000000012</v>
      </c>
      <c r="AJ10" s="49">
        <f>AI10/$AH$10</f>
        <v>232.72727272727278</v>
      </c>
      <c r="AK10" s="40"/>
      <c r="AL10" s="53">
        <f t="shared" ref="AL10:AL21" si="12">W10*AA10*AE10*$AH$2</f>
        <v>128000.00000000001</v>
      </c>
      <c r="AM10" s="53">
        <f t="shared" ref="AM10:AM21" si="13">X10*AB10*AF10*$AH$2</f>
        <v>213333.33333333337</v>
      </c>
      <c r="AN10" s="53">
        <f t="shared" ref="AN10:AN21" si="14">Y10*AC10*AG10*$AH$2</f>
        <v>170666.66666666672</v>
      </c>
    </row>
    <row r="11" spans="1:40" ht="13" customHeight="1" x14ac:dyDescent="0.15">
      <c r="A11" s="40"/>
      <c r="B11" s="40" t="s">
        <v>20</v>
      </c>
      <c r="C11" s="68" t="s">
        <v>51</v>
      </c>
      <c r="D11" s="40" t="s">
        <v>52</v>
      </c>
      <c r="E11" s="40" t="s">
        <v>19</v>
      </c>
      <c r="F11" s="40" t="s">
        <v>21</v>
      </c>
      <c r="G11" s="74">
        <v>2.6666666666666668E-2</v>
      </c>
      <c r="H11" s="43">
        <f t="shared" si="2"/>
        <v>4000000.0000000005</v>
      </c>
      <c r="I11" s="72">
        <v>3</v>
      </c>
      <c r="J11" s="45">
        <f>H11/I11</f>
        <v>1333333.3333333335</v>
      </c>
      <c r="K11" s="46">
        <f>J11/L11</f>
        <v>13.333333333333336</v>
      </c>
      <c r="L11" s="45">
        <v>100000</v>
      </c>
      <c r="M11" s="73">
        <v>0.2</v>
      </c>
      <c r="N11" s="45">
        <f>J11*M11</f>
        <v>266666.66666666669</v>
      </c>
      <c r="O11" s="43">
        <f>H11*1000/N11</f>
        <v>15000</v>
      </c>
      <c r="P11" s="46">
        <v>1.1000000000000001</v>
      </c>
      <c r="Q11" s="45">
        <f t="shared" si="3"/>
        <v>242424.24242424243</v>
      </c>
      <c r="R11" s="48">
        <f t="shared" si="4"/>
        <v>1</v>
      </c>
      <c r="S11" s="48">
        <v>0.2</v>
      </c>
      <c r="T11" s="48">
        <v>0.4</v>
      </c>
      <c r="U11" s="48">
        <v>0.4</v>
      </c>
      <c r="V11" s="49">
        <f t="shared" si="5"/>
        <v>242424.24242424243</v>
      </c>
      <c r="W11" s="49">
        <f t="shared" si="6"/>
        <v>48484.848484848488</v>
      </c>
      <c r="X11" s="49">
        <f t="shared" si="7"/>
        <v>96969.696969696975</v>
      </c>
      <c r="Y11" s="49">
        <f t="shared" si="8"/>
        <v>96969.696969696975</v>
      </c>
      <c r="Z11" s="50">
        <f t="shared" si="9"/>
        <v>2.5000000000000001E-3</v>
      </c>
      <c r="AA11" s="51">
        <v>3.0000000000000001E-3</v>
      </c>
      <c r="AB11" s="51">
        <v>2.5000000000000001E-3</v>
      </c>
      <c r="AC11" s="51">
        <v>2E-3</v>
      </c>
      <c r="AD11" s="48">
        <f t="shared" si="10"/>
        <v>0.40000000000000008</v>
      </c>
      <c r="AE11" s="48">
        <v>0.4</v>
      </c>
      <c r="AF11" s="48">
        <v>0.4</v>
      </c>
      <c r="AG11" s="48">
        <v>0.4</v>
      </c>
      <c r="AH11" s="53">
        <v>2200</v>
      </c>
      <c r="AI11" s="53">
        <f t="shared" si="11"/>
        <v>512000.00000000012</v>
      </c>
      <c r="AJ11" s="49">
        <f>AI11/$AH$10</f>
        <v>232.72727272727278</v>
      </c>
      <c r="AK11" s="40"/>
      <c r="AL11" s="53">
        <f t="shared" si="12"/>
        <v>128000.00000000001</v>
      </c>
      <c r="AM11" s="53">
        <f t="shared" si="13"/>
        <v>213333.33333333337</v>
      </c>
      <c r="AN11" s="53">
        <f t="shared" si="14"/>
        <v>170666.66666666672</v>
      </c>
    </row>
    <row r="12" spans="1:40" ht="13" customHeight="1" x14ac:dyDescent="0.15">
      <c r="A12" s="40"/>
      <c r="B12" s="54" t="s">
        <v>20</v>
      </c>
      <c r="C12" s="75" t="s">
        <v>51</v>
      </c>
      <c r="D12" s="54" t="s">
        <v>53</v>
      </c>
      <c r="E12" s="54" t="s">
        <v>22</v>
      </c>
      <c r="F12" s="54" t="s">
        <v>21</v>
      </c>
      <c r="G12" s="76">
        <v>0.02</v>
      </c>
      <c r="H12" s="57">
        <f t="shared" si="2"/>
        <v>3000000</v>
      </c>
      <c r="I12" s="44"/>
      <c r="J12" s="44"/>
      <c r="K12" s="44"/>
      <c r="L12" s="44"/>
      <c r="M12" s="44"/>
      <c r="N12" s="59">
        <f>H12/O12*1000</f>
        <v>12000000</v>
      </c>
      <c r="O12" s="57">
        <v>250</v>
      </c>
      <c r="P12" s="60">
        <v>2.5</v>
      </c>
      <c r="Q12" s="59">
        <f t="shared" si="3"/>
        <v>4800000</v>
      </c>
      <c r="R12" s="48">
        <f t="shared" si="4"/>
        <v>1</v>
      </c>
      <c r="S12" s="48">
        <v>0.2</v>
      </c>
      <c r="T12" s="48">
        <v>0.4</v>
      </c>
      <c r="U12" s="48">
        <v>0.4</v>
      </c>
      <c r="V12" s="47">
        <f t="shared" si="5"/>
        <v>4800000</v>
      </c>
      <c r="W12" s="47">
        <f t="shared" si="6"/>
        <v>960000</v>
      </c>
      <c r="X12" s="47">
        <f t="shared" si="7"/>
        <v>1920000</v>
      </c>
      <c r="Y12" s="47">
        <f t="shared" si="8"/>
        <v>1920000</v>
      </c>
      <c r="Z12" s="77">
        <f t="shared" si="9"/>
        <v>2.5000000000000001E-3</v>
      </c>
      <c r="AA12" s="51">
        <v>3.0000000000000001E-3</v>
      </c>
      <c r="AB12" s="51">
        <v>2.5000000000000001E-3</v>
      </c>
      <c r="AC12" s="51">
        <v>2E-3</v>
      </c>
      <c r="AD12" s="58">
        <f t="shared" si="10"/>
        <v>0.40000000000000008</v>
      </c>
      <c r="AE12" s="48">
        <v>0.4</v>
      </c>
      <c r="AF12" s="48">
        <v>0.4</v>
      </c>
      <c r="AG12" s="48">
        <v>0.4</v>
      </c>
      <c r="AH12" s="78">
        <v>2200</v>
      </c>
      <c r="AI12" s="78">
        <f t="shared" si="11"/>
        <v>10137600</v>
      </c>
      <c r="AJ12" s="49">
        <f>AI12/$AH$10</f>
        <v>4608</v>
      </c>
      <c r="AK12" s="54"/>
      <c r="AL12" s="53">
        <f t="shared" si="12"/>
        <v>2534400</v>
      </c>
      <c r="AM12" s="53">
        <f t="shared" si="13"/>
        <v>4224000</v>
      </c>
      <c r="AN12" s="53">
        <f t="shared" si="14"/>
        <v>3379200</v>
      </c>
    </row>
    <row r="13" spans="1:40" ht="13" customHeight="1" x14ac:dyDescent="0.15">
      <c r="A13" s="40"/>
      <c r="B13" s="54" t="s">
        <v>20</v>
      </c>
      <c r="C13" s="75" t="s">
        <v>51</v>
      </c>
      <c r="D13" s="54" t="s">
        <v>52</v>
      </c>
      <c r="E13" s="54" t="s">
        <v>19</v>
      </c>
      <c r="F13" s="54" t="s">
        <v>54</v>
      </c>
      <c r="G13" s="76">
        <v>0.02</v>
      </c>
      <c r="H13" s="57">
        <f t="shared" si="2"/>
        <v>3000000</v>
      </c>
      <c r="I13" s="79">
        <v>3.5</v>
      </c>
      <c r="J13" s="59">
        <f>H13/I13</f>
        <v>857142.85714285716</v>
      </c>
      <c r="K13" s="60">
        <f>J13/L13</f>
        <v>4.2857142857142856</v>
      </c>
      <c r="L13" s="59">
        <v>200000</v>
      </c>
      <c r="M13" s="80">
        <v>0.3</v>
      </c>
      <c r="N13" s="59">
        <f>J13*M13</f>
        <v>257142.85714285713</v>
      </c>
      <c r="O13" s="57">
        <f>H13*1000/N13</f>
        <v>11666.666666666668</v>
      </c>
      <c r="P13" s="60">
        <v>1.1000000000000001</v>
      </c>
      <c r="Q13" s="59">
        <f t="shared" si="3"/>
        <v>233766.23376623372</v>
      </c>
      <c r="R13" s="48">
        <f t="shared" si="4"/>
        <v>1</v>
      </c>
      <c r="S13" s="48">
        <v>0.2</v>
      </c>
      <c r="T13" s="48">
        <v>0.4</v>
      </c>
      <c r="U13" s="48">
        <v>0.4</v>
      </c>
      <c r="V13" s="47">
        <f t="shared" si="5"/>
        <v>233766.23376623372</v>
      </c>
      <c r="W13" s="47">
        <f t="shared" si="6"/>
        <v>46753.246753246749</v>
      </c>
      <c r="X13" s="47">
        <f t="shared" si="7"/>
        <v>93506.493506493498</v>
      </c>
      <c r="Y13" s="47">
        <f t="shared" si="8"/>
        <v>93506.493506493498</v>
      </c>
      <c r="Z13" s="77">
        <f t="shared" si="9"/>
        <v>2.5000000000000001E-3</v>
      </c>
      <c r="AA13" s="51">
        <v>3.0000000000000001E-3</v>
      </c>
      <c r="AB13" s="51">
        <v>2.5000000000000001E-3</v>
      </c>
      <c r="AC13" s="51">
        <v>2E-3</v>
      </c>
      <c r="AD13" s="58">
        <f t="shared" si="10"/>
        <v>0.40000000000000008</v>
      </c>
      <c r="AE13" s="48">
        <v>0.4</v>
      </c>
      <c r="AF13" s="48">
        <v>0.4</v>
      </c>
      <c r="AG13" s="48">
        <v>0.4</v>
      </c>
      <c r="AH13" s="78">
        <v>2200</v>
      </c>
      <c r="AI13" s="78">
        <f t="shared" si="11"/>
        <v>493714.28571428568</v>
      </c>
      <c r="AJ13" s="49">
        <f>AI13/AH13</f>
        <v>224.41558441558439</v>
      </c>
      <c r="AK13" s="54"/>
      <c r="AL13" s="53">
        <f t="shared" si="12"/>
        <v>123428.57142857143</v>
      </c>
      <c r="AM13" s="53">
        <f t="shared" si="13"/>
        <v>205714.28571428571</v>
      </c>
      <c r="AN13" s="53">
        <f t="shared" si="14"/>
        <v>164571.42857142855</v>
      </c>
    </row>
    <row r="14" spans="1:40" ht="13" customHeight="1" x14ac:dyDescent="0.15">
      <c r="A14" s="40"/>
      <c r="B14" s="54" t="s">
        <v>20</v>
      </c>
      <c r="C14" s="75" t="s">
        <v>51</v>
      </c>
      <c r="D14" s="54" t="s">
        <v>55</v>
      </c>
      <c r="E14" s="54" t="s">
        <v>22</v>
      </c>
      <c r="F14" s="54" t="s">
        <v>54</v>
      </c>
      <c r="G14" s="76">
        <v>0.02</v>
      </c>
      <c r="H14" s="57">
        <f t="shared" si="2"/>
        <v>3000000</v>
      </c>
      <c r="I14" s="44"/>
      <c r="J14" s="44"/>
      <c r="K14" s="44"/>
      <c r="L14" s="44"/>
      <c r="M14" s="44"/>
      <c r="N14" s="59">
        <f>H14/O14*1000</f>
        <v>10000000</v>
      </c>
      <c r="O14" s="57">
        <v>300</v>
      </c>
      <c r="P14" s="60">
        <v>2.5</v>
      </c>
      <c r="Q14" s="59">
        <f t="shared" si="3"/>
        <v>4000000</v>
      </c>
      <c r="R14" s="48">
        <f t="shared" si="4"/>
        <v>1</v>
      </c>
      <c r="S14" s="48">
        <v>0.2</v>
      </c>
      <c r="T14" s="48">
        <v>0.4</v>
      </c>
      <c r="U14" s="48">
        <v>0.4</v>
      </c>
      <c r="V14" s="47">
        <f t="shared" si="5"/>
        <v>4000000</v>
      </c>
      <c r="W14" s="47">
        <f t="shared" si="6"/>
        <v>800000</v>
      </c>
      <c r="X14" s="47">
        <f t="shared" si="7"/>
        <v>1600000</v>
      </c>
      <c r="Y14" s="47">
        <f t="shared" si="8"/>
        <v>1600000</v>
      </c>
      <c r="Z14" s="77">
        <f t="shared" si="9"/>
        <v>2.5000000000000001E-3</v>
      </c>
      <c r="AA14" s="51">
        <v>3.0000000000000001E-3</v>
      </c>
      <c r="AB14" s="51">
        <v>2.5000000000000001E-3</v>
      </c>
      <c r="AC14" s="51">
        <v>2E-3</v>
      </c>
      <c r="AD14" s="58">
        <f t="shared" si="10"/>
        <v>0.40000000000000008</v>
      </c>
      <c r="AE14" s="48">
        <v>0.4</v>
      </c>
      <c r="AF14" s="48">
        <v>0.4</v>
      </c>
      <c r="AG14" s="48">
        <v>0.4</v>
      </c>
      <c r="AH14" s="78">
        <v>2200</v>
      </c>
      <c r="AI14" s="78">
        <f t="shared" si="11"/>
        <v>8448000</v>
      </c>
      <c r="AJ14" s="49">
        <f t="shared" ref="AJ14:AJ21" si="15">AI14/$AH$10</f>
        <v>3840</v>
      </c>
      <c r="AK14" s="54"/>
      <c r="AL14" s="53">
        <f t="shared" si="12"/>
        <v>2112000</v>
      </c>
      <c r="AM14" s="53">
        <f t="shared" si="13"/>
        <v>3520000</v>
      </c>
      <c r="AN14" s="53">
        <f t="shared" si="14"/>
        <v>2816000</v>
      </c>
    </row>
    <row r="15" spans="1:40" ht="13" customHeight="1" x14ac:dyDescent="0.15">
      <c r="A15" s="40"/>
      <c r="B15" s="54" t="s">
        <v>20</v>
      </c>
      <c r="C15" s="75" t="s">
        <v>51</v>
      </c>
      <c r="D15" s="54" t="s">
        <v>56</v>
      </c>
      <c r="E15" s="54" t="s">
        <v>19</v>
      </c>
      <c r="F15" s="54" t="s">
        <v>54</v>
      </c>
      <c r="G15" s="56">
        <v>3.3333333333333333E-2</v>
      </c>
      <c r="H15" s="57">
        <f t="shared" si="2"/>
        <v>5000000</v>
      </c>
      <c r="I15" s="79">
        <v>3.5</v>
      </c>
      <c r="J15" s="59">
        <f>H15/I15</f>
        <v>1428571.4285714286</v>
      </c>
      <c r="K15" s="60">
        <f>J15/L15</f>
        <v>7.1428571428571432</v>
      </c>
      <c r="L15" s="59">
        <v>200000</v>
      </c>
      <c r="M15" s="80">
        <v>0.3</v>
      </c>
      <c r="N15" s="59">
        <f>J15*M15</f>
        <v>428571.42857142858</v>
      </c>
      <c r="O15" s="57">
        <f>H15*1000/N15</f>
        <v>11666.666666666666</v>
      </c>
      <c r="P15" s="60">
        <v>1.1000000000000001</v>
      </c>
      <c r="Q15" s="59">
        <f t="shared" si="3"/>
        <v>389610.3896103896</v>
      </c>
      <c r="R15" s="48">
        <f t="shared" si="4"/>
        <v>1</v>
      </c>
      <c r="S15" s="48">
        <v>0.2</v>
      </c>
      <c r="T15" s="48">
        <v>0.4</v>
      </c>
      <c r="U15" s="48">
        <v>0.4</v>
      </c>
      <c r="V15" s="47">
        <f t="shared" si="5"/>
        <v>389610.3896103896</v>
      </c>
      <c r="W15" s="47">
        <f t="shared" si="6"/>
        <v>77922.077922077922</v>
      </c>
      <c r="X15" s="47">
        <f t="shared" si="7"/>
        <v>155844.15584415584</v>
      </c>
      <c r="Y15" s="47">
        <f t="shared" si="8"/>
        <v>155844.15584415584</v>
      </c>
      <c r="Z15" s="77">
        <f t="shared" si="9"/>
        <v>2.5000000000000001E-3</v>
      </c>
      <c r="AA15" s="51">
        <v>3.0000000000000001E-3</v>
      </c>
      <c r="AB15" s="51">
        <v>2.5000000000000001E-3</v>
      </c>
      <c r="AC15" s="51">
        <v>2E-3</v>
      </c>
      <c r="AD15" s="58">
        <f t="shared" si="10"/>
        <v>0.40000000000000008</v>
      </c>
      <c r="AE15" s="48">
        <v>0.4</v>
      </c>
      <c r="AF15" s="48">
        <v>0.4</v>
      </c>
      <c r="AG15" s="48">
        <v>0.4</v>
      </c>
      <c r="AH15" s="78">
        <v>2200</v>
      </c>
      <c r="AI15" s="78">
        <f t="shared" si="11"/>
        <v>822857.14285714296</v>
      </c>
      <c r="AJ15" s="49">
        <f t="shared" si="15"/>
        <v>374.02597402597405</v>
      </c>
      <c r="AK15" s="54"/>
      <c r="AL15" s="53">
        <f t="shared" si="12"/>
        <v>205714.28571428574</v>
      </c>
      <c r="AM15" s="53">
        <f t="shared" si="13"/>
        <v>342857.1428571429</v>
      </c>
      <c r="AN15" s="53">
        <f t="shared" si="14"/>
        <v>274285.71428571426</v>
      </c>
    </row>
    <row r="16" spans="1:40" ht="13" customHeight="1" x14ac:dyDescent="0.15">
      <c r="A16" s="40"/>
      <c r="B16" s="54" t="s">
        <v>20</v>
      </c>
      <c r="C16" s="75" t="s">
        <v>51</v>
      </c>
      <c r="D16" s="54" t="s">
        <v>57</v>
      </c>
      <c r="E16" s="54" t="s">
        <v>22</v>
      </c>
      <c r="F16" s="54" t="s">
        <v>54</v>
      </c>
      <c r="G16" s="56">
        <v>3.3333333333333333E-2</v>
      </c>
      <c r="H16" s="57">
        <f t="shared" si="2"/>
        <v>5000000</v>
      </c>
      <c r="I16" s="44"/>
      <c r="J16" s="44"/>
      <c r="K16" s="44"/>
      <c r="L16" s="44"/>
      <c r="M16" s="44"/>
      <c r="N16" s="59">
        <f>H16/O16*1000</f>
        <v>16666666.666666668</v>
      </c>
      <c r="O16" s="57">
        <v>300</v>
      </c>
      <c r="P16" s="60">
        <v>2.5</v>
      </c>
      <c r="Q16" s="59">
        <f t="shared" si="3"/>
        <v>6666666.666666667</v>
      </c>
      <c r="R16" s="48">
        <f t="shared" si="4"/>
        <v>1</v>
      </c>
      <c r="S16" s="48">
        <v>0.2</v>
      </c>
      <c r="T16" s="48">
        <v>0.4</v>
      </c>
      <c r="U16" s="48">
        <v>0.4</v>
      </c>
      <c r="V16" s="47">
        <f t="shared" si="5"/>
        <v>6666666.6666666679</v>
      </c>
      <c r="W16" s="47">
        <f t="shared" si="6"/>
        <v>1333333.3333333335</v>
      </c>
      <c r="X16" s="47">
        <f t="shared" si="7"/>
        <v>2666666.666666667</v>
      </c>
      <c r="Y16" s="47">
        <f t="shared" si="8"/>
        <v>2666666.666666667</v>
      </c>
      <c r="Z16" s="77">
        <f t="shared" si="9"/>
        <v>2.5000000000000001E-3</v>
      </c>
      <c r="AA16" s="51">
        <v>3.0000000000000001E-3</v>
      </c>
      <c r="AB16" s="51">
        <v>2.5000000000000001E-3</v>
      </c>
      <c r="AC16" s="51">
        <v>2E-3</v>
      </c>
      <c r="AD16" s="58">
        <f t="shared" si="10"/>
        <v>0.40000000000000008</v>
      </c>
      <c r="AE16" s="48">
        <v>0.4</v>
      </c>
      <c r="AF16" s="48">
        <v>0.4</v>
      </c>
      <c r="AG16" s="48">
        <v>0.4</v>
      </c>
      <c r="AH16" s="78">
        <v>2200</v>
      </c>
      <c r="AI16" s="78">
        <f t="shared" si="11"/>
        <v>14080000.000000002</v>
      </c>
      <c r="AJ16" s="49">
        <f t="shared" si="15"/>
        <v>6400.0000000000009</v>
      </c>
      <c r="AK16" s="54"/>
      <c r="AL16" s="53">
        <f t="shared" si="12"/>
        <v>3520000.0000000005</v>
      </c>
      <c r="AM16" s="53">
        <f t="shared" si="13"/>
        <v>5866666.6666666679</v>
      </c>
      <c r="AN16" s="53">
        <f t="shared" si="14"/>
        <v>4693333.333333334</v>
      </c>
    </row>
    <row r="17" spans="1:40" ht="13" customHeight="1" x14ac:dyDescent="0.15">
      <c r="A17" s="40"/>
      <c r="B17" s="54" t="s">
        <v>20</v>
      </c>
      <c r="C17" s="75" t="s">
        <v>51</v>
      </c>
      <c r="D17" s="54" t="s">
        <v>18</v>
      </c>
      <c r="E17" s="54" t="s">
        <v>19</v>
      </c>
      <c r="F17" s="54" t="s">
        <v>48</v>
      </c>
      <c r="G17" s="56">
        <v>3.3333333333333333E-2</v>
      </c>
      <c r="H17" s="57">
        <f t="shared" si="2"/>
        <v>5000000</v>
      </c>
      <c r="I17" s="79">
        <v>3</v>
      </c>
      <c r="J17" s="59">
        <f>H17/I17</f>
        <v>1666666.6666666667</v>
      </c>
      <c r="K17" s="60">
        <f>J17/L17</f>
        <v>16.666666666666668</v>
      </c>
      <c r="L17" s="59">
        <v>100000</v>
      </c>
      <c r="M17" s="80">
        <v>0.2</v>
      </c>
      <c r="N17" s="59">
        <f>J17*M17</f>
        <v>333333.33333333337</v>
      </c>
      <c r="O17" s="57">
        <f>H17*1000/N17</f>
        <v>14999.999999999998</v>
      </c>
      <c r="P17" s="60">
        <v>1.1000000000000001</v>
      </c>
      <c r="Q17" s="59">
        <f t="shared" si="3"/>
        <v>303030.30303030304</v>
      </c>
      <c r="R17" s="48">
        <f t="shared" si="4"/>
        <v>1</v>
      </c>
      <c r="S17" s="48">
        <v>0.2</v>
      </c>
      <c r="T17" s="48">
        <v>0.4</v>
      </c>
      <c r="U17" s="48">
        <v>0.4</v>
      </c>
      <c r="V17" s="47">
        <f t="shared" si="5"/>
        <v>303030.30303030304</v>
      </c>
      <c r="W17" s="47">
        <f t="shared" si="6"/>
        <v>60606.060606060608</v>
      </c>
      <c r="X17" s="47">
        <f t="shared" si="7"/>
        <v>121212.12121212122</v>
      </c>
      <c r="Y17" s="47">
        <f t="shared" si="8"/>
        <v>121212.12121212122</v>
      </c>
      <c r="Z17" s="77">
        <f t="shared" si="9"/>
        <v>2.5000000000000001E-3</v>
      </c>
      <c r="AA17" s="51">
        <v>3.0000000000000001E-3</v>
      </c>
      <c r="AB17" s="51">
        <v>2.5000000000000001E-3</v>
      </c>
      <c r="AC17" s="51">
        <v>2E-3</v>
      </c>
      <c r="AD17" s="58">
        <f t="shared" si="10"/>
        <v>0.40000000000000008</v>
      </c>
      <c r="AE17" s="48">
        <v>0.4</v>
      </c>
      <c r="AF17" s="48">
        <v>0.4</v>
      </c>
      <c r="AG17" s="48">
        <v>0.4</v>
      </c>
      <c r="AH17" s="78">
        <v>2200</v>
      </c>
      <c r="AI17" s="78">
        <f t="shared" si="11"/>
        <v>640000</v>
      </c>
      <c r="AJ17" s="49">
        <f t="shared" si="15"/>
        <v>290.90909090909093</v>
      </c>
      <c r="AK17" s="54"/>
      <c r="AL17" s="53">
        <f t="shared" si="12"/>
        <v>160000</v>
      </c>
      <c r="AM17" s="53">
        <f t="shared" si="13"/>
        <v>266666.66666666669</v>
      </c>
      <c r="AN17" s="53">
        <f t="shared" si="14"/>
        <v>213333.33333333337</v>
      </c>
    </row>
    <row r="18" spans="1:40" ht="13" customHeight="1" x14ac:dyDescent="0.15">
      <c r="A18" s="40"/>
      <c r="B18" s="54" t="s">
        <v>20</v>
      </c>
      <c r="C18" s="75" t="s">
        <v>51</v>
      </c>
      <c r="D18" s="54" t="s">
        <v>52</v>
      </c>
      <c r="E18" s="54" t="s">
        <v>19</v>
      </c>
      <c r="F18" s="54" t="s">
        <v>48</v>
      </c>
      <c r="G18" s="56">
        <v>3.3333333333333333E-2</v>
      </c>
      <c r="H18" s="57">
        <f t="shared" si="2"/>
        <v>5000000</v>
      </c>
      <c r="I18" s="79">
        <v>3</v>
      </c>
      <c r="J18" s="59">
        <f>H18/I18</f>
        <v>1666666.6666666667</v>
      </c>
      <c r="K18" s="60">
        <f>J18/L18</f>
        <v>11.111111111111112</v>
      </c>
      <c r="L18" s="59">
        <v>150000</v>
      </c>
      <c r="M18" s="80">
        <v>0.2</v>
      </c>
      <c r="N18" s="59">
        <f>J18*M18</f>
        <v>333333.33333333337</v>
      </c>
      <c r="O18" s="57">
        <f>H18*1000/N18</f>
        <v>14999.999999999998</v>
      </c>
      <c r="P18" s="60">
        <v>1.1000000000000001</v>
      </c>
      <c r="Q18" s="59">
        <f t="shared" si="3"/>
        <v>303030.30303030304</v>
      </c>
      <c r="R18" s="48">
        <f t="shared" si="4"/>
        <v>1</v>
      </c>
      <c r="S18" s="48">
        <v>0.2</v>
      </c>
      <c r="T18" s="48">
        <v>0.4</v>
      </c>
      <c r="U18" s="48">
        <v>0.4</v>
      </c>
      <c r="V18" s="47">
        <f t="shared" si="5"/>
        <v>303030.30303030304</v>
      </c>
      <c r="W18" s="47">
        <f t="shared" si="6"/>
        <v>60606.060606060608</v>
      </c>
      <c r="X18" s="47">
        <f t="shared" si="7"/>
        <v>121212.12121212122</v>
      </c>
      <c r="Y18" s="47">
        <f t="shared" si="8"/>
        <v>121212.12121212122</v>
      </c>
      <c r="Z18" s="77">
        <f t="shared" si="9"/>
        <v>2.5000000000000001E-3</v>
      </c>
      <c r="AA18" s="51">
        <v>3.0000000000000001E-3</v>
      </c>
      <c r="AB18" s="51">
        <v>2.5000000000000001E-3</v>
      </c>
      <c r="AC18" s="51">
        <v>2E-3</v>
      </c>
      <c r="AD18" s="58">
        <f t="shared" si="10"/>
        <v>0.40000000000000008</v>
      </c>
      <c r="AE18" s="48">
        <v>0.4</v>
      </c>
      <c r="AF18" s="48">
        <v>0.4</v>
      </c>
      <c r="AG18" s="48">
        <v>0.4</v>
      </c>
      <c r="AH18" s="78">
        <v>2200</v>
      </c>
      <c r="AI18" s="78">
        <f t="shared" si="11"/>
        <v>640000</v>
      </c>
      <c r="AJ18" s="49">
        <f t="shared" si="15"/>
        <v>290.90909090909093</v>
      </c>
      <c r="AK18" s="54"/>
      <c r="AL18" s="53">
        <f t="shared" si="12"/>
        <v>160000</v>
      </c>
      <c r="AM18" s="53">
        <f t="shared" si="13"/>
        <v>266666.66666666669</v>
      </c>
      <c r="AN18" s="53">
        <f t="shared" si="14"/>
        <v>213333.33333333337</v>
      </c>
    </row>
    <row r="19" spans="1:40" ht="13" customHeight="1" x14ac:dyDescent="0.15">
      <c r="A19" s="40"/>
      <c r="B19" s="54" t="s">
        <v>20</v>
      </c>
      <c r="C19" s="75" t="s">
        <v>51</v>
      </c>
      <c r="D19" s="54" t="s">
        <v>53</v>
      </c>
      <c r="E19" s="54" t="s">
        <v>22</v>
      </c>
      <c r="F19" s="54" t="s">
        <v>48</v>
      </c>
      <c r="G19" s="56">
        <v>3.3333333333333333E-2</v>
      </c>
      <c r="H19" s="57">
        <f t="shared" si="2"/>
        <v>5000000</v>
      </c>
      <c r="I19" s="44"/>
      <c r="J19" s="44"/>
      <c r="K19" s="44"/>
      <c r="L19" s="44"/>
      <c r="M19" s="44"/>
      <c r="N19" s="59">
        <f>H19/O19*1000</f>
        <v>25000000</v>
      </c>
      <c r="O19" s="57">
        <v>200</v>
      </c>
      <c r="P19" s="60">
        <v>2.5</v>
      </c>
      <c r="Q19" s="59">
        <f t="shared" si="3"/>
        <v>10000000</v>
      </c>
      <c r="R19" s="48">
        <f t="shared" si="4"/>
        <v>1</v>
      </c>
      <c r="S19" s="48">
        <v>0.2</v>
      </c>
      <c r="T19" s="48">
        <v>0.4</v>
      </c>
      <c r="U19" s="48">
        <v>0.4</v>
      </c>
      <c r="V19" s="47">
        <f t="shared" si="5"/>
        <v>10000000</v>
      </c>
      <c r="W19" s="47">
        <f t="shared" si="6"/>
        <v>2000000</v>
      </c>
      <c r="X19" s="47">
        <f t="shared" si="7"/>
        <v>4000000</v>
      </c>
      <c r="Y19" s="47">
        <f t="shared" si="8"/>
        <v>4000000</v>
      </c>
      <c r="Z19" s="77">
        <f t="shared" si="9"/>
        <v>2.5000000000000001E-3</v>
      </c>
      <c r="AA19" s="51">
        <v>3.0000000000000001E-3</v>
      </c>
      <c r="AB19" s="51">
        <v>2.5000000000000001E-3</v>
      </c>
      <c r="AC19" s="51">
        <v>2E-3</v>
      </c>
      <c r="AD19" s="58">
        <f t="shared" si="10"/>
        <v>0.40000000000000008</v>
      </c>
      <c r="AE19" s="48">
        <v>0.4</v>
      </c>
      <c r="AF19" s="48">
        <v>0.4</v>
      </c>
      <c r="AG19" s="48">
        <v>0.4</v>
      </c>
      <c r="AH19" s="78">
        <v>2200</v>
      </c>
      <c r="AI19" s="78">
        <f t="shared" si="11"/>
        <v>21120000</v>
      </c>
      <c r="AJ19" s="49">
        <f t="shared" si="15"/>
        <v>9600</v>
      </c>
      <c r="AK19" s="54"/>
      <c r="AL19" s="53">
        <f t="shared" si="12"/>
        <v>5280000</v>
      </c>
      <c r="AM19" s="53">
        <f t="shared" si="13"/>
        <v>8800000</v>
      </c>
      <c r="AN19" s="53">
        <f t="shared" si="14"/>
        <v>7040000</v>
      </c>
    </row>
    <row r="20" spans="1:40" ht="13" customHeight="1" x14ac:dyDescent="0.15">
      <c r="A20" s="40"/>
      <c r="B20" s="54" t="s">
        <v>20</v>
      </c>
      <c r="C20" s="75" t="s">
        <v>51</v>
      </c>
      <c r="D20" s="54" t="s">
        <v>56</v>
      </c>
      <c r="E20" s="54" t="s">
        <v>19</v>
      </c>
      <c r="F20" s="54" t="s">
        <v>58</v>
      </c>
      <c r="G20" s="56">
        <v>3.3333333333333333E-2</v>
      </c>
      <c r="H20" s="57">
        <f t="shared" si="2"/>
        <v>5000000</v>
      </c>
      <c r="I20" s="79">
        <v>5</v>
      </c>
      <c r="J20" s="59">
        <f>H20/I20</f>
        <v>1000000</v>
      </c>
      <c r="K20" s="60">
        <f>J20/L20</f>
        <v>6.666666666666667</v>
      </c>
      <c r="L20" s="59">
        <v>150000</v>
      </c>
      <c r="M20" s="81">
        <v>0.25</v>
      </c>
      <c r="N20" s="59">
        <f>J20*M20</f>
        <v>250000</v>
      </c>
      <c r="O20" s="57">
        <f>H20*1000/N20</f>
        <v>20000</v>
      </c>
      <c r="P20" s="60">
        <v>1.1000000000000001</v>
      </c>
      <c r="Q20" s="59">
        <f t="shared" si="3"/>
        <v>227272.72727272726</v>
      </c>
      <c r="R20" s="48">
        <f t="shared" si="4"/>
        <v>1</v>
      </c>
      <c r="S20" s="48">
        <v>0.2</v>
      </c>
      <c r="T20" s="48">
        <v>0.4</v>
      </c>
      <c r="U20" s="48">
        <v>0.4</v>
      </c>
      <c r="V20" s="47">
        <f t="shared" si="5"/>
        <v>227272.72727272726</v>
      </c>
      <c r="W20" s="47">
        <f t="shared" si="6"/>
        <v>45454.545454545456</v>
      </c>
      <c r="X20" s="47">
        <f t="shared" si="7"/>
        <v>90909.090909090912</v>
      </c>
      <c r="Y20" s="47">
        <f t="shared" si="8"/>
        <v>90909.090909090912</v>
      </c>
      <c r="Z20" s="77">
        <f t="shared" si="9"/>
        <v>2.5000000000000001E-3</v>
      </c>
      <c r="AA20" s="51">
        <v>3.0000000000000001E-3</v>
      </c>
      <c r="AB20" s="51">
        <v>2.5000000000000001E-3</v>
      </c>
      <c r="AC20" s="51">
        <v>2E-3</v>
      </c>
      <c r="AD20" s="58">
        <f t="shared" si="10"/>
        <v>0.40000000000000008</v>
      </c>
      <c r="AE20" s="48">
        <v>0.4</v>
      </c>
      <c r="AF20" s="48">
        <v>0.4</v>
      </c>
      <c r="AG20" s="48">
        <v>0.4</v>
      </c>
      <c r="AH20" s="78">
        <v>2200</v>
      </c>
      <c r="AI20" s="78">
        <f t="shared" si="11"/>
        <v>480000.00000000006</v>
      </c>
      <c r="AJ20" s="49">
        <f t="shared" si="15"/>
        <v>218.18181818181822</v>
      </c>
      <c r="AK20" s="54"/>
      <c r="AL20" s="53">
        <f t="shared" si="12"/>
        <v>120000.00000000001</v>
      </c>
      <c r="AM20" s="53">
        <f t="shared" si="13"/>
        <v>200000.00000000003</v>
      </c>
      <c r="AN20" s="53">
        <f t="shared" si="14"/>
        <v>160000</v>
      </c>
    </row>
    <row r="21" spans="1:40" ht="13" customHeight="1" x14ac:dyDescent="0.15">
      <c r="A21" s="40"/>
      <c r="B21" s="62" t="s">
        <v>20</v>
      </c>
      <c r="C21" s="82" t="s">
        <v>51</v>
      </c>
      <c r="D21" s="62" t="s">
        <v>57</v>
      </c>
      <c r="E21" s="62" t="s">
        <v>22</v>
      </c>
      <c r="F21" s="62" t="s">
        <v>58</v>
      </c>
      <c r="G21" s="64">
        <v>3.3333333333333333E-2</v>
      </c>
      <c r="H21" s="65">
        <f t="shared" si="2"/>
        <v>5000000</v>
      </c>
      <c r="I21" s="66"/>
      <c r="J21" s="66"/>
      <c r="K21" s="66"/>
      <c r="L21" s="66"/>
      <c r="M21" s="66"/>
      <c r="N21" s="83">
        <f>H21/O21*1000</f>
        <v>25000000</v>
      </c>
      <c r="O21" s="65">
        <v>200</v>
      </c>
      <c r="P21" s="84">
        <v>1.1000000000000001</v>
      </c>
      <c r="Q21" s="83">
        <f t="shared" si="3"/>
        <v>22727272.727272727</v>
      </c>
      <c r="R21" s="48">
        <f t="shared" si="4"/>
        <v>1</v>
      </c>
      <c r="S21" s="48">
        <v>0.2</v>
      </c>
      <c r="T21" s="48">
        <v>0.4</v>
      </c>
      <c r="U21" s="48">
        <v>0.4</v>
      </c>
      <c r="V21" s="85">
        <f t="shared" si="5"/>
        <v>22727272.727272727</v>
      </c>
      <c r="W21" s="85">
        <f t="shared" si="6"/>
        <v>4545454.5454545459</v>
      </c>
      <c r="X21" s="85">
        <f t="shared" si="7"/>
        <v>9090909.0909090918</v>
      </c>
      <c r="Y21" s="85">
        <f t="shared" si="8"/>
        <v>9090909.0909090918</v>
      </c>
      <c r="Z21" s="86">
        <f t="shared" si="9"/>
        <v>2.5000000000000001E-3</v>
      </c>
      <c r="AA21" s="51">
        <v>3.0000000000000001E-3</v>
      </c>
      <c r="AB21" s="51">
        <v>2.5000000000000001E-3</v>
      </c>
      <c r="AC21" s="51">
        <v>2E-3</v>
      </c>
      <c r="AD21" s="52">
        <f t="shared" si="10"/>
        <v>0.40000000000000008</v>
      </c>
      <c r="AE21" s="48">
        <v>0.4</v>
      </c>
      <c r="AF21" s="48">
        <v>0.4</v>
      </c>
      <c r="AG21" s="48">
        <v>0.4</v>
      </c>
      <c r="AH21" s="87">
        <v>2200</v>
      </c>
      <c r="AI21" s="87">
        <f t="shared" si="11"/>
        <v>48000000.000000015</v>
      </c>
      <c r="AJ21" s="49">
        <f t="shared" si="15"/>
        <v>21818.181818181823</v>
      </c>
      <c r="AK21" s="62"/>
      <c r="AL21" s="53">
        <f t="shared" si="12"/>
        <v>12000000.000000004</v>
      </c>
      <c r="AM21" s="53">
        <f t="shared" si="13"/>
        <v>20000000.000000007</v>
      </c>
      <c r="AN21" s="53">
        <f t="shared" si="14"/>
        <v>16000000.000000002</v>
      </c>
    </row>
    <row r="22" spans="1:40" ht="13" customHeight="1" x14ac:dyDescent="0.15">
      <c r="A22" s="40"/>
      <c r="B22" s="54" t="s">
        <v>20</v>
      </c>
      <c r="C22" s="75" t="s">
        <v>51</v>
      </c>
      <c r="D22" s="54" t="s">
        <v>24</v>
      </c>
      <c r="E22" s="54" t="s">
        <v>25</v>
      </c>
      <c r="F22" s="54" t="s">
        <v>26</v>
      </c>
      <c r="G22" s="61">
        <v>4.0000000000000001E-3</v>
      </c>
      <c r="H22" s="57">
        <f t="shared" si="2"/>
        <v>600000</v>
      </c>
      <c r="I22" s="88"/>
      <c r="J22" s="88"/>
      <c r="K22" s="46">
        <v>100</v>
      </c>
      <c r="L22" s="88"/>
      <c r="M22" s="88"/>
      <c r="N22" s="66"/>
      <c r="O22" s="66"/>
      <c r="P22" s="67"/>
      <c r="Q22" s="66"/>
      <c r="R22" s="66"/>
      <c r="S22" s="66"/>
      <c r="T22" s="66"/>
      <c r="U22" s="66"/>
      <c r="V22" s="66"/>
      <c r="W22" s="66"/>
      <c r="X22" s="66"/>
      <c r="Y22" s="66"/>
      <c r="Z22" s="66"/>
      <c r="AA22" s="66"/>
      <c r="AB22" s="66"/>
      <c r="AC22" s="66"/>
      <c r="AD22" s="66"/>
      <c r="AE22" s="66"/>
      <c r="AF22" s="66"/>
      <c r="AG22" s="66"/>
      <c r="AH22" s="66"/>
      <c r="AI22" s="66"/>
      <c r="AJ22" s="66"/>
      <c r="AK22" s="66"/>
      <c r="AL22" s="66"/>
      <c r="AM22" s="66"/>
      <c r="AN22" s="66"/>
    </row>
    <row r="23" spans="1:40" ht="16" customHeight="1" outlineLevel="1" x14ac:dyDescent="0.2">
      <c r="A23" s="40"/>
      <c r="B23" s="89" t="s">
        <v>59</v>
      </c>
      <c r="C23" s="90"/>
      <c r="D23" s="90"/>
      <c r="E23" s="90"/>
      <c r="F23" s="90"/>
      <c r="G23" s="91"/>
      <c r="H23" s="92">
        <f>SUM(H10:H22)</f>
        <v>52600000</v>
      </c>
      <c r="I23" s="90"/>
      <c r="J23" s="90"/>
      <c r="K23" s="93">
        <f>SUM(K10:K21)</f>
        <v>72.539682539682559</v>
      </c>
      <c r="L23" s="90"/>
      <c r="M23" s="90"/>
      <c r="N23" s="93">
        <f>SUM(N10:N21)</f>
        <v>90802380.952380955</v>
      </c>
      <c r="O23" s="94"/>
      <c r="P23" s="95"/>
      <c r="Q23" s="93">
        <f>SUM(Q10:Q21)</f>
        <v>50135497.835497841</v>
      </c>
      <c r="R23" s="96"/>
      <c r="S23" s="96"/>
      <c r="T23" s="96"/>
      <c r="U23" s="96"/>
      <c r="V23" s="93">
        <f>SUM(V10:V21)</f>
        <v>50135497.835497841</v>
      </c>
      <c r="W23" s="93">
        <f>SUM(W10:W21)</f>
        <v>10027099.567099568</v>
      </c>
      <c r="X23" s="93">
        <f>SUM(X10:X21)</f>
        <v>20054199.134199135</v>
      </c>
      <c r="Y23" s="93">
        <f>SUM(Y10:Y21)</f>
        <v>20054199.134199135</v>
      </c>
      <c r="Z23" s="97">
        <f>AVERAGE(Z10:Z21)</f>
        <v>2.4999999999999996E-3</v>
      </c>
      <c r="AA23" s="91"/>
      <c r="AB23" s="91"/>
      <c r="AC23" s="91"/>
      <c r="AD23" s="96"/>
      <c r="AE23" s="96"/>
      <c r="AF23" s="96"/>
      <c r="AG23" s="96"/>
      <c r="AH23" s="94"/>
      <c r="AI23" s="92">
        <f>SUM(AI10:AI21)</f>
        <v>105886171.42857143</v>
      </c>
      <c r="AJ23" s="93">
        <f t="shared" ref="AJ23:AJ32" si="16">AI23/$AH$10</f>
        <v>48130.077922077922</v>
      </c>
      <c r="AK23" s="92"/>
      <c r="AL23" s="92">
        <f>SUM(AL10:AL21)</f>
        <v>26471542.857142858</v>
      </c>
      <c r="AM23" s="92">
        <f>SUM(AM10:AM21)</f>
        <v>44119238.095238104</v>
      </c>
      <c r="AN23" s="92">
        <f>SUM(AN10:AN21)</f>
        <v>35295390.476190478</v>
      </c>
    </row>
    <row r="24" spans="1:40" ht="13" customHeight="1" x14ac:dyDescent="0.15">
      <c r="A24" s="40"/>
      <c r="B24" s="16" t="s">
        <v>42</v>
      </c>
      <c r="C24" s="68" t="s">
        <v>60</v>
      </c>
      <c r="D24" s="40" t="s">
        <v>61</v>
      </c>
      <c r="E24" s="69" t="s">
        <v>19</v>
      </c>
      <c r="F24" s="98" t="s">
        <v>21</v>
      </c>
      <c r="G24" s="99">
        <v>0.02</v>
      </c>
      <c r="H24" s="100">
        <f>G24*$H$48</f>
        <v>3000000</v>
      </c>
      <c r="I24" s="72">
        <v>3</v>
      </c>
      <c r="J24" s="45">
        <f>H24/I24</f>
        <v>1000000</v>
      </c>
      <c r="K24" s="46">
        <f>J24/L24</f>
        <v>6.666666666666667</v>
      </c>
      <c r="L24" s="45">
        <v>150000</v>
      </c>
      <c r="M24" s="73">
        <v>0.2</v>
      </c>
      <c r="N24" s="45">
        <f>J24*M24</f>
        <v>200000</v>
      </c>
      <c r="O24" s="43">
        <f>H24*1000/N24</f>
        <v>15000</v>
      </c>
      <c r="P24" s="46">
        <v>1.1000000000000001</v>
      </c>
      <c r="Q24" s="45">
        <f t="shared" ref="Q24:Q32" si="17">N24/P24</f>
        <v>181818.18181818179</v>
      </c>
      <c r="R24" s="48">
        <f t="shared" ref="R24:R32" si="18">SUM(S24:U24)</f>
        <v>1</v>
      </c>
      <c r="S24" s="48">
        <f t="shared" ref="S24:S32" si="19">1/2</f>
        <v>0.5</v>
      </c>
      <c r="T24" s="48">
        <f t="shared" ref="T24:U32" si="20">1/4</f>
        <v>0.25</v>
      </c>
      <c r="U24" s="48">
        <f t="shared" si="20"/>
        <v>0.25</v>
      </c>
      <c r="V24" s="49">
        <f t="shared" ref="V24:V32" si="21">SUM(W24:Y24)</f>
        <v>181818.18181818179</v>
      </c>
      <c r="W24" s="49">
        <f t="shared" ref="W24:W32" si="22">$Q24*S24</f>
        <v>90909.090909090897</v>
      </c>
      <c r="X24" s="49">
        <f t="shared" ref="X24:X32" si="23">$Q24*T24</f>
        <v>45454.545454545449</v>
      </c>
      <c r="Y24" s="49">
        <f t="shared" ref="Y24:Y32" si="24">$Q24*U24</f>
        <v>45454.545454545449</v>
      </c>
      <c r="Z24" s="50">
        <f t="shared" ref="Z24:Z32" si="25">AVERAGE(AA24:AC24)</f>
        <v>2.6666666666666666E-3</v>
      </c>
      <c r="AA24" s="51">
        <v>3.0000000000000001E-3</v>
      </c>
      <c r="AB24" s="51">
        <v>3.0000000000000001E-3</v>
      </c>
      <c r="AC24" s="51">
        <v>2E-3</v>
      </c>
      <c r="AD24" s="48">
        <f t="shared" ref="AD24:AD32" si="26">AVERAGE(AE24:AG24)</f>
        <v>0.40000000000000008</v>
      </c>
      <c r="AE24" s="48">
        <v>0.4</v>
      </c>
      <c r="AF24" s="48">
        <v>0.4</v>
      </c>
      <c r="AG24" s="48">
        <v>0.4</v>
      </c>
      <c r="AH24" s="53">
        <v>2200</v>
      </c>
      <c r="AI24" s="53">
        <f t="shared" ref="AI24:AI32" si="27">SUM(AL24:AN24)</f>
        <v>439999.99999999994</v>
      </c>
      <c r="AJ24" s="49">
        <f t="shared" si="16"/>
        <v>199.99999999999997</v>
      </c>
      <c r="AK24" s="40"/>
      <c r="AL24" s="53">
        <f t="shared" ref="AL24:AL32" si="28">W24*AA24*AE24*$AH$2</f>
        <v>239999.99999999997</v>
      </c>
      <c r="AM24" s="53">
        <f t="shared" ref="AM24:AM32" si="29">X24*AB24*AF24*$AH$2</f>
        <v>119999.99999999999</v>
      </c>
      <c r="AN24" s="53">
        <f t="shared" ref="AN24:AN32" si="30">Y24*AC24*AG24*$AH$2</f>
        <v>79999.999999999985</v>
      </c>
    </row>
    <row r="25" spans="1:40" ht="13" customHeight="1" x14ac:dyDescent="0.15">
      <c r="A25" s="40"/>
      <c r="B25" s="40" t="s">
        <v>20</v>
      </c>
      <c r="C25" s="68" t="s">
        <v>60</v>
      </c>
      <c r="D25" s="40" t="s">
        <v>62</v>
      </c>
      <c r="E25" s="40" t="s">
        <v>19</v>
      </c>
      <c r="F25" s="40" t="s">
        <v>21</v>
      </c>
      <c r="G25" s="101">
        <v>0.02</v>
      </c>
      <c r="H25" s="43">
        <f>G25*$H$48</f>
        <v>3000000</v>
      </c>
      <c r="I25" s="72">
        <v>3</v>
      </c>
      <c r="J25" s="45">
        <f>H25/I25</f>
        <v>1000000</v>
      </c>
      <c r="K25" s="46">
        <f>J25/L25</f>
        <v>6.666666666666667</v>
      </c>
      <c r="L25" s="45">
        <v>150000</v>
      </c>
      <c r="M25" s="73">
        <v>0.2</v>
      </c>
      <c r="N25" s="45">
        <f>J25*M25</f>
        <v>200000</v>
      </c>
      <c r="O25" s="43">
        <f>H25*1000/N25</f>
        <v>15000</v>
      </c>
      <c r="P25" s="46">
        <v>1.1000000000000001</v>
      </c>
      <c r="Q25" s="45">
        <f t="shared" si="17"/>
        <v>181818.18181818179</v>
      </c>
      <c r="R25" s="48">
        <f t="shared" si="18"/>
        <v>1</v>
      </c>
      <c r="S25" s="48">
        <f t="shared" si="19"/>
        <v>0.5</v>
      </c>
      <c r="T25" s="48">
        <f t="shared" si="20"/>
        <v>0.25</v>
      </c>
      <c r="U25" s="48">
        <f t="shared" si="20"/>
        <v>0.25</v>
      </c>
      <c r="V25" s="49">
        <f t="shared" si="21"/>
        <v>181818.18181818179</v>
      </c>
      <c r="W25" s="49">
        <f t="shared" si="22"/>
        <v>90909.090909090897</v>
      </c>
      <c r="X25" s="49">
        <f t="shared" si="23"/>
        <v>45454.545454545449</v>
      </c>
      <c r="Y25" s="49">
        <f t="shared" si="24"/>
        <v>45454.545454545449</v>
      </c>
      <c r="Z25" s="50">
        <f t="shared" si="25"/>
        <v>2.6666666666666666E-3</v>
      </c>
      <c r="AA25" s="51">
        <v>3.0000000000000001E-3</v>
      </c>
      <c r="AB25" s="51">
        <v>3.0000000000000001E-3</v>
      </c>
      <c r="AC25" s="51">
        <v>2E-3</v>
      </c>
      <c r="AD25" s="48">
        <f t="shared" si="26"/>
        <v>0.40000000000000008</v>
      </c>
      <c r="AE25" s="48">
        <v>0.4</v>
      </c>
      <c r="AF25" s="48">
        <v>0.4</v>
      </c>
      <c r="AG25" s="48">
        <v>0.4</v>
      </c>
      <c r="AH25" s="53">
        <v>2200</v>
      </c>
      <c r="AI25" s="53">
        <f t="shared" si="27"/>
        <v>439999.99999999994</v>
      </c>
      <c r="AJ25" s="49">
        <f t="shared" si="16"/>
        <v>199.99999999999997</v>
      </c>
      <c r="AK25" s="40"/>
      <c r="AL25" s="53">
        <f t="shared" si="28"/>
        <v>239999.99999999997</v>
      </c>
      <c r="AM25" s="53">
        <f t="shared" si="29"/>
        <v>119999.99999999999</v>
      </c>
      <c r="AN25" s="53">
        <f t="shared" si="30"/>
        <v>79999.999999999985</v>
      </c>
    </row>
    <row r="26" spans="1:40" ht="13" customHeight="1" x14ac:dyDescent="0.15">
      <c r="A26" s="40"/>
      <c r="B26" s="54" t="s">
        <v>20</v>
      </c>
      <c r="C26" s="75" t="s">
        <v>60</v>
      </c>
      <c r="D26" s="54" t="s">
        <v>63</v>
      </c>
      <c r="E26" s="54" t="s">
        <v>22</v>
      </c>
      <c r="F26" s="54" t="s">
        <v>21</v>
      </c>
      <c r="G26" s="56">
        <v>0.03</v>
      </c>
      <c r="H26" s="57">
        <v>3000000</v>
      </c>
      <c r="I26" s="44"/>
      <c r="J26" s="44"/>
      <c r="K26" s="44"/>
      <c r="L26" s="44"/>
      <c r="M26" s="44"/>
      <c r="N26" s="59">
        <f>H26/O26*1000</f>
        <v>12000000</v>
      </c>
      <c r="O26" s="57">
        <v>250</v>
      </c>
      <c r="P26" s="60">
        <v>2.5</v>
      </c>
      <c r="Q26" s="59">
        <f t="shared" si="17"/>
        <v>4800000</v>
      </c>
      <c r="R26" s="48">
        <f t="shared" si="18"/>
        <v>1</v>
      </c>
      <c r="S26" s="58">
        <f t="shared" si="19"/>
        <v>0.5</v>
      </c>
      <c r="T26" s="58">
        <f t="shared" si="20"/>
        <v>0.25</v>
      </c>
      <c r="U26" s="58">
        <f t="shared" si="20"/>
        <v>0.25</v>
      </c>
      <c r="V26" s="47">
        <f t="shared" si="21"/>
        <v>4800000</v>
      </c>
      <c r="W26" s="47">
        <f t="shared" si="22"/>
        <v>2400000</v>
      </c>
      <c r="X26" s="47">
        <f t="shared" si="23"/>
        <v>1200000</v>
      </c>
      <c r="Y26" s="47">
        <f t="shared" si="24"/>
        <v>1200000</v>
      </c>
      <c r="Z26" s="77">
        <f t="shared" si="25"/>
        <v>2.6666666666666666E-3</v>
      </c>
      <c r="AA26" s="51">
        <v>3.0000000000000001E-3</v>
      </c>
      <c r="AB26" s="51">
        <v>3.0000000000000001E-3</v>
      </c>
      <c r="AC26" s="51">
        <v>2E-3</v>
      </c>
      <c r="AD26" s="58">
        <f t="shared" si="26"/>
        <v>0.40000000000000008</v>
      </c>
      <c r="AE26" s="48">
        <v>0.4</v>
      </c>
      <c r="AF26" s="48">
        <v>0.4</v>
      </c>
      <c r="AG26" s="48">
        <v>0.4</v>
      </c>
      <c r="AH26" s="78">
        <v>2200</v>
      </c>
      <c r="AI26" s="78">
        <f t="shared" si="27"/>
        <v>11616000</v>
      </c>
      <c r="AJ26" s="49">
        <f t="shared" si="16"/>
        <v>5280</v>
      </c>
      <c r="AK26" s="54"/>
      <c r="AL26" s="53">
        <f t="shared" si="28"/>
        <v>6336000</v>
      </c>
      <c r="AM26" s="53">
        <f t="shared" si="29"/>
        <v>3168000</v>
      </c>
      <c r="AN26" s="53">
        <f t="shared" si="30"/>
        <v>2112000</v>
      </c>
    </row>
    <row r="27" spans="1:40" ht="13" customHeight="1" x14ac:dyDescent="0.15">
      <c r="A27" s="40"/>
      <c r="B27" s="54" t="s">
        <v>20</v>
      </c>
      <c r="C27" s="75" t="s">
        <v>60</v>
      </c>
      <c r="D27" s="54" t="s">
        <v>62</v>
      </c>
      <c r="E27" s="54" t="s">
        <v>19</v>
      </c>
      <c r="F27" s="54" t="s">
        <v>48</v>
      </c>
      <c r="G27" s="102">
        <v>0.01</v>
      </c>
      <c r="H27" s="57">
        <f>G27*$H$48</f>
        <v>1500000</v>
      </c>
      <c r="I27" s="79">
        <v>3</v>
      </c>
      <c r="J27" s="59">
        <f>H27/I27</f>
        <v>500000</v>
      </c>
      <c r="K27" s="60">
        <f>J27/L27</f>
        <v>5</v>
      </c>
      <c r="L27" s="59">
        <v>100000</v>
      </c>
      <c r="M27" s="58">
        <v>0.2</v>
      </c>
      <c r="N27" s="59">
        <f>J27*M27</f>
        <v>100000</v>
      </c>
      <c r="O27" s="57">
        <f>H27*1000/N27</f>
        <v>15000</v>
      </c>
      <c r="P27" s="103">
        <v>1.1000000000000001</v>
      </c>
      <c r="Q27" s="59">
        <f t="shared" si="17"/>
        <v>90909.090909090897</v>
      </c>
      <c r="R27" s="48">
        <f t="shared" si="18"/>
        <v>1</v>
      </c>
      <c r="S27" s="58">
        <f t="shared" si="19"/>
        <v>0.5</v>
      </c>
      <c r="T27" s="58">
        <f t="shared" si="20"/>
        <v>0.25</v>
      </c>
      <c r="U27" s="58">
        <f t="shared" si="20"/>
        <v>0.25</v>
      </c>
      <c r="V27" s="47">
        <f t="shared" si="21"/>
        <v>90909.090909090897</v>
      </c>
      <c r="W27" s="47">
        <f t="shared" si="22"/>
        <v>45454.545454545449</v>
      </c>
      <c r="X27" s="47">
        <f t="shared" si="23"/>
        <v>22727.272727272724</v>
      </c>
      <c r="Y27" s="47">
        <f t="shared" si="24"/>
        <v>22727.272727272724</v>
      </c>
      <c r="Z27" s="77">
        <f t="shared" si="25"/>
        <v>2.6666666666666666E-3</v>
      </c>
      <c r="AA27" s="51">
        <v>3.0000000000000001E-3</v>
      </c>
      <c r="AB27" s="51">
        <v>3.0000000000000001E-3</v>
      </c>
      <c r="AC27" s="51">
        <v>2E-3</v>
      </c>
      <c r="AD27" s="58">
        <f t="shared" si="26"/>
        <v>0.40000000000000008</v>
      </c>
      <c r="AE27" s="48">
        <v>0.4</v>
      </c>
      <c r="AF27" s="48">
        <v>0.4</v>
      </c>
      <c r="AG27" s="48">
        <v>0.4</v>
      </c>
      <c r="AH27" s="78">
        <v>2200</v>
      </c>
      <c r="AI27" s="78">
        <f t="shared" si="27"/>
        <v>219999.99999999997</v>
      </c>
      <c r="AJ27" s="49">
        <f t="shared" si="16"/>
        <v>99.999999999999986</v>
      </c>
      <c r="AK27" s="54"/>
      <c r="AL27" s="53">
        <f t="shared" si="28"/>
        <v>119999.99999999999</v>
      </c>
      <c r="AM27" s="53">
        <f t="shared" si="29"/>
        <v>59999.999999999993</v>
      </c>
      <c r="AN27" s="53">
        <f t="shared" si="30"/>
        <v>39999.999999999993</v>
      </c>
    </row>
    <row r="28" spans="1:40" ht="13" customHeight="1" x14ac:dyDescent="0.15">
      <c r="A28" s="40"/>
      <c r="B28" s="54" t="s">
        <v>20</v>
      </c>
      <c r="C28" s="75" t="s">
        <v>60</v>
      </c>
      <c r="D28" s="54" t="s">
        <v>64</v>
      </c>
      <c r="E28" s="54" t="s">
        <v>22</v>
      </c>
      <c r="F28" s="54" t="s">
        <v>48</v>
      </c>
      <c r="G28" s="104">
        <v>1.3333333333333331E-2</v>
      </c>
      <c r="H28" s="57">
        <f>G28*$H$48</f>
        <v>1999999.9999999995</v>
      </c>
      <c r="I28" s="44"/>
      <c r="J28" s="44"/>
      <c r="K28" s="44"/>
      <c r="L28" s="44"/>
      <c r="M28" s="44"/>
      <c r="N28" s="59">
        <f>H28/O28*1000</f>
        <v>9999999.9999999981</v>
      </c>
      <c r="O28" s="78">
        <v>200</v>
      </c>
      <c r="P28" s="60">
        <v>2.5</v>
      </c>
      <c r="Q28" s="59">
        <f t="shared" si="17"/>
        <v>3999999.9999999991</v>
      </c>
      <c r="R28" s="48">
        <f t="shared" si="18"/>
        <v>1</v>
      </c>
      <c r="S28" s="58">
        <f t="shared" si="19"/>
        <v>0.5</v>
      </c>
      <c r="T28" s="58">
        <f t="shared" si="20"/>
        <v>0.25</v>
      </c>
      <c r="U28" s="58">
        <f t="shared" si="20"/>
        <v>0.25</v>
      </c>
      <c r="V28" s="47">
        <f t="shared" si="21"/>
        <v>3999999.9999999991</v>
      </c>
      <c r="W28" s="47">
        <f t="shared" si="22"/>
        <v>1999999.9999999995</v>
      </c>
      <c r="X28" s="47">
        <f t="shared" si="23"/>
        <v>999999.99999999977</v>
      </c>
      <c r="Y28" s="47">
        <f t="shared" si="24"/>
        <v>999999.99999999977</v>
      </c>
      <c r="Z28" s="77">
        <f t="shared" si="25"/>
        <v>2.6666666666666666E-3</v>
      </c>
      <c r="AA28" s="51">
        <v>3.0000000000000001E-3</v>
      </c>
      <c r="AB28" s="51">
        <v>3.0000000000000001E-3</v>
      </c>
      <c r="AC28" s="51">
        <v>2E-3</v>
      </c>
      <c r="AD28" s="58">
        <f t="shared" si="26"/>
        <v>0.40000000000000008</v>
      </c>
      <c r="AE28" s="48">
        <v>0.4</v>
      </c>
      <c r="AF28" s="48">
        <v>0.4</v>
      </c>
      <c r="AG28" s="48">
        <v>0.4</v>
      </c>
      <c r="AH28" s="78">
        <v>2200</v>
      </c>
      <c r="AI28" s="78">
        <f t="shared" si="27"/>
        <v>9679999.9999999981</v>
      </c>
      <c r="AJ28" s="49">
        <f t="shared" si="16"/>
        <v>4399.9999999999991</v>
      </c>
      <c r="AK28" s="54"/>
      <c r="AL28" s="53">
        <f t="shared" si="28"/>
        <v>5279999.9999999991</v>
      </c>
      <c r="AM28" s="53">
        <f t="shared" si="29"/>
        <v>2639999.9999999995</v>
      </c>
      <c r="AN28" s="53">
        <f t="shared" si="30"/>
        <v>1759999.9999999998</v>
      </c>
    </row>
    <row r="29" spans="1:40" ht="13" customHeight="1" x14ac:dyDescent="0.15">
      <c r="A29" s="40"/>
      <c r="B29" s="54" t="s">
        <v>20</v>
      </c>
      <c r="C29" s="75" t="s">
        <v>60</v>
      </c>
      <c r="D29" s="54" t="s">
        <v>62</v>
      </c>
      <c r="E29" s="54" t="s">
        <v>25</v>
      </c>
      <c r="F29" s="54" t="s">
        <v>65</v>
      </c>
      <c r="G29" s="105">
        <v>0.06</v>
      </c>
      <c r="H29" s="57">
        <v>5000000</v>
      </c>
      <c r="I29" s="79">
        <v>7</v>
      </c>
      <c r="J29" s="59">
        <f>H29/I29</f>
        <v>714285.71428571432</v>
      </c>
      <c r="K29" s="60">
        <f>J29/L29</f>
        <v>1.4285714285714286</v>
      </c>
      <c r="L29" s="59">
        <v>500000</v>
      </c>
      <c r="M29" s="81">
        <v>0.4</v>
      </c>
      <c r="N29" s="59">
        <f>J29*M29</f>
        <v>285714.28571428574</v>
      </c>
      <c r="O29" s="57">
        <f>H29*1000/N29</f>
        <v>17500</v>
      </c>
      <c r="P29" s="103">
        <v>1.1000000000000001</v>
      </c>
      <c r="Q29" s="59">
        <f t="shared" si="17"/>
        <v>259740.25974025973</v>
      </c>
      <c r="R29" s="48">
        <f t="shared" si="18"/>
        <v>1</v>
      </c>
      <c r="S29" s="58">
        <f t="shared" si="19"/>
        <v>0.5</v>
      </c>
      <c r="T29" s="58">
        <f t="shared" si="20"/>
        <v>0.25</v>
      </c>
      <c r="U29" s="58">
        <f t="shared" si="20"/>
        <v>0.25</v>
      </c>
      <c r="V29" s="47">
        <f t="shared" si="21"/>
        <v>259740.25974025973</v>
      </c>
      <c r="W29" s="47">
        <f t="shared" si="22"/>
        <v>129870.12987012987</v>
      </c>
      <c r="X29" s="47">
        <f t="shared" si="23"/>
        <v>64935.064935064933</v>
      </c>
      <c r="Y29" s="47">
        <f t="shared" si="24"/>
        <v>64935.064935064933</v>
      </c>
      <c r="Z29" s="77">
        <f t="shared" si="25"/>
        <v>2.6666666666666666E-3</v>
      </c>
      <c r="AA29" s="51">
        <v>3.0000000000000001E-3</v>
      </c>
      <c r="AB29" s="51">
        <v>3.0000000000000001E-3</v>
      </c>
      <c r="AC29" s="51">
        <v>2E-3</v>
      </c>
      <c r="AD29" s="58">
        <f t="shared" si="26"/>
        <v>0.40000000000000008</v>
      </c>
      <c r="AE29" s="48">
        <v>0.4</v>
      </c>
      <c r="AF29" s="48">
        <v>0.4</v>
      </c>
      <c r="AG29" s="48">
        <v>0.4</v>
      </c>
      <c r="AH29" s="78">
        <v>2200</v>
      </c>
      <c r="AI29" s="78">
        <f t="shared" si="27"/>
        <v>628571.42857142864</v>
      </c>
      <c r="AJ29" s="49">
        <f t="shared" si="16"/>
        <v>285.71428571428572</v>
      </c>
      <c r="AK29" s="54"/>
      <c r="AL29" s="53">
        <f t="shared" si="28"/>
        <v>342857.1428571429</v>
      </c>
      <c r="AM29" s="53">
        <f t="shared" si="29"/>
        <v>171428.57142857145</v>
      </c>
      <c r="AN29" s="53">
        <f t="shared" si="30"/>
        <v>114285.71428571429</v>
      </c>
    </row>
    <row r="30" spans="1:40" ht="13" customHeight="1" x14ac:dyDescent="0.15">
      <c r="A30" s="40"/>
      <c r="B30" s="54" t="s">
        <v>20</v>
      </c>
      <c r="C30" s="75" t="s">
        <v>60</v>
      </c>
      <c r="D30" s="54" t="s">
        <v>66</v>
      </c>
      <c r="E30" s="54" t="s">
        <v>19</v>
      </c>
      <c r="F30" s="54" t="s">
        <v>58</v>
      </c>
      <c r="G30" s="104">
        <v>0.02</v>
      </c>
      <c r="H30" s="57">
        <f>G30*$H$48</f>
        <v>3000000</v>
      </c>
      <c r="I30" s="79">
        <v>5</v>
      </c>
      <c r="J30" s="59">
        <f>H30/I30</f>
        <v>600000</v>
      </c>
      <c r="K30" s="60">
        <f>J30/L30</f>
        <v>3</v>
      </c>
      <c r="L30" s="59">
        <v>200000</v>
      </c>
      <c r="M30" s="81">
        <v>0.25</v>
      </c>
      <c r="N30" s="59">
        <f>H30/O30*1000</f>
        <v>12000000</v>
      </c>
      <c r="O30" s="57">
        <v>250</v>
      </c>
      <c r="P30" s="60">
        <v>2.5</v>
      </c>
      <c r="Q30" s="59">
        <f t="shared" si="17"/>
        <v>4800000</v>
      </c>
      <c r="R30" s="48">
        <f t="shared" si="18"/>
        <v>1</v>
      </c>
      <c r="S30" s="58">
        <f t="shared" si="19"/>
        <v>0.5</v>
      </c>
      <c r="T30" s="58">
        <f t="shared" si="20"/>
        <v>0.25</v>
      </c>
      <c r="U30" s="58">
        <f t="shared" si="20"/>
        <v>0.25</v>
      </c>
      <c r="V30" s="47">
        <f t="shared" si="21"/>
        <v>4800000</v>
      </c>
      <c r="W30" s="47">
        <f t="shared" si="22"/>
        <v>2400000</v>
      </c>
      <c r="X30" s="47">
        <f t="shared" si="23"/>
        <v>1200000</v>
      </c>
      <c r="Y30" s="47">
        <f t="shared" si="24"/>
        <v>1200000</v>
      </c>
      <c r="Z30" s="77">
        <f t="shared" si="25"/>
        <v>2.6666666666666666E-3</v>
      </c>
      <c r="AA30" s="51">
        <v>3.0000000000000001E-3</v>
      </c>
      <c r="AB30" s="51">
        <v>3.0000000000000001E-3</v>
      </c>
      <c r="AC30" s="51">
        <v>2E-3</v>
      </c>
      <c r="AD30" s="58">
        <f t="shared" si="26"/>
        <v>0.40000000000000008</v>
      </c>
      <c r="AE30" s="48">
        <v>0.4</v>
      </c>
      <c r="AF30" s="48">
        <v>0.4</v>
      </c>
      <c r="AG30" s="48">
        <v>0.4</v>
      </c>
      <c r="AH30" s="78">
        <v>2200</v>
      </c>
      <c r="AI30" s="78">
        <f t="shared" si="27"/>
        <v>11616000</v>
      </c>
      <c r="AJ30" s="49">
        <f t="shared" si="16"/>
        <v>5280</v>
      </c>
      <c r="AK30" s="54"/>
      <c r="AL30" s="53">
        <f t="shared" si="28"/>
        <v>6336000</v>
      </c>
      <c r="AM30" s="53">
        <f t="shared" si="29"/>
        <v>3168000</v>
      </c>
      <c r="AN30" s="53">
        <f t="shared" si="30"/>
        <v>2112000</v>
      </c>
    </row>
    <row r="31" spans="1:40" ht="13" customHeight="1" x14ac:dyDescent="0.15">
      <c r="A31" s="40"/>
      <c r="B31" s="54" t="s">
        <v>20</v>
      </c>
      <c r="C31" s="75" t="s">
        <v>60</v>
      </c>
      <c r="D31" s="54" t="s">
        <v>67</v>
      </c>
      <c r="E31" s="54" t="s">
        <v>22</v>
      </c>
      <c r="F31" s="54" t="s">
        <v>58</v>
      </c>
      <c r="G31" s="106">
        <v>2.6666666666666668E-2</v>
      </c>
      <c r="H31" s="57">
        <f>G31*$H$48</f>
        <v>4000000.0000000005</v>
      </c>
      <c r="I31" s="44"/>
      <c r="J31" s="44"/>
      <c r="K31" s="44"/>
      <c r="L31" s="44"/>
      <c r="M31" s="44"/>
      <c r="N31" s="59">
        <f>H31/O31*1000</f>
        <v>13333333.333333336</v>
      </c>
      <c r="O31" s="57">
        <v>300</v>
      </c>
      <c r="P31" s="60">
        <v>2.5</v>
      </c>
      <c r="Q31" s="59">
        <f t="shared" si="17"/>
        <v>5333333.333333334</v>
      </c>
      <c r="R31" s="48">
        <f t="shared" si="18"/>
        <v>1</v>
      </c>
      <c r="S31" s="58">
        <f t="shared" si="19"/>
        <v>0.5</v>
      </c>
      <c r="T31" s="58">
        <f t="shared" si="20"/>
        <v>0.25</v>
      </c>
      <c r="U31" s="58">
        <f t="shared" si="20"/>
        <v>0.25</v>
      </c>
      <c r="V31" s="47">
        <f t="shared" si="21"/>
        <v>5333333.333333334</v>
      </c>
      <c r="W31" s="47">
        <f t="shared" si="22"/>
        <v>2666666.666666667</v>
      </c>
      <c r="X31" s="47">
        <f t="shared" si="23"/>
        <v>1333333.3333333335</v>
      </c>
      <c r="Y31" s="47">
        <f t="shared" si="24"/>
        <v>1333333.3333333335</v>
      </c>
      <c r="Z31" s="77">
        <f t="shared" si="25"/>
        <v>2.6666666666666666E-3</v>
      </c>
      <c r="AA31" s="51">
        <v>3.0000000000000001E-3</v>
      </c>
      <c r="AB31" s="51">
        <v>3.0000000000000001E-3</v>
      </c>
      <c r="AC31" s="51">
        <v>2E-3</v>
      </c>
      <c r="AD31" s="58">
        <f t="shared" si="26"/>
        <v>0.40000000000000008</v>
      </c>
      <c r="AE31" s="48">
        <v>0.4</v>
      </c>
      <c r="AF31" s="48">
        <v>0.4</v>
      </c>
      <c r="AG31" s="48">
        <v>0.4</v>
      </c>
      <c r="AH31" s="78">
        <v>2200</v>
      </c>
      <c r="AI31" s="78">
        <f t="shared" si="27"/>
        <v>12906666.666666668</v>
      </c>
      <c r="AJ31" s="49">
        <f t="shared" si="16"/>
        <v>5866.666666666667</v>
      </c>
      <c r="AK31" s="54"/>
      <c r="AL31" s="53">
        <f t="shared" si="28"/>
        <v>7040000.0000000009</v>
      </c>
      <c r="AM31" s="53">
        <f t="shared" si="29"/>
        <v>3520000.0000000005</v>
      </c>
      <c r="AN31" s="53">
        <f t="shared" si="30"/>
        <v>2346666.666666667</v>
      </c>
    </row>
    <row r="32" spans="1:40" ht="13" customHeight="1" x14ac:dyDescent="0.15">
      <c r="A32" s="40"/>
      <c r="B32" s="62" t="s">
        <v>20</v>
      </c>
      <c r="C32" s="82" t="s">
        <v>60</v>
      </c>
      <c r="D32" s="62" t="s">
        <v>68</v>
      </c>
      <c r="E32" s="62" t="s">
        <v>25</v>
      </c>
      <c r="F32" s="62" t="s">
        <v>58</v>
      </c>
      <c r="G32" s="107">
        <v>6.003E-2</v>
      </c>
      <c r="H32" s="65">
        <v>4000000</v>
      </c>
      <c r="I32" s="108">
        <v>5</v>
      </c>
      <c r="J32" s="83">
        <f>H32/I32</f>
        <v>800000</v>
      </c>
      <c r="K32" s="84">
        <f>J32/L32</f>
        <v>1.6</v>
      </c>
      <c r="L32" s="83">
        <v>500000</v>
      </c>
      <c r="M32" s="109">
        <v>0.2</v>
      </c>
      <c r="N32" s="83">
        <f>J32*M32</f>
        <v>160000</v>
      </c>
      <c r="O32" s="65">
        <f>H32*1000/N32</f>
        <v>25000</v>
      </c>
      <c r="P32" s="84">
        <v>1.1000000000000001</v>
      </c>
      <c r="Q32" s="83">
        <f t="shared" si="17"/>
        <v>145454.54545454544</v>
      </c>
      <c r="R32" s="48">
        <f t="shared" si="18"/>
        <v>1</v>
      </c>
      <c r="S32" s="52">
        <f t="shared" si="19"/>
        <v>0.5</v>
      </c>
      <c r="T32" s="52">
        <f t="shared" si="20"/>
        <v>0.25</v>
      </c>
      <c r="U32" s="52">
        <f t="shared" si="20"/>
        <v>0.25</v>
      </c>
      <c r="V32" s="85">
        <f t="shared" si="21"/>
        <v>145454.54545454544</v>
      </c>
      <c r="W32" s="85">
        <f t="shared" si="22"/>
        <v>72727.272727272721</v>
      </c>
      <c r="X32" s="85">
        <f t="shared" si="23"/>
        <v>36363.63636363636</v>
      </c>
      <c r="Y32" s="85">
        <f t="shared" si="24"/>
        <v>36363.63636363636</v>
      </c>
      <c r="Z32" s="86">
        <f t="shared" si="25"/>
        <v>2.6666666666666666E-3</v>
      </c>
      <c r="AA32" s="51">
        <v>3.0000000000000001E-3</v>
      </c>
      <c r="AB32" s="51">
        <v>3.0000000000000001E-3</v>
      </c>
      <c r="AC32" s="51">
        <v>2E-3</v>
      </c>
      <c r="AD32" s="52">
        <f t="shared" si="26"/>
        <v>0.40000000000000008</v>
      </c>
      <c r="AE32" s="48">
        <v>0.4</v>
      </c>
      <c r="AF32" s="48">
        <v>0.4</v>
      </c>
      <c r="AG32" s="48">
        <v>0.4</v>
      </c>
      <c r="AH32" s="87">
        <v>2200</v>
      </c>
      <c r="AI32" s="87">
        <f t="shared" si="27"/>
        <v>352000</v>
      </c>
      <c r="AJ32" s="49">
        <f t="shared" si="16"/>
        <v>160</v>
      </c>
      <c r="AK32" s="62"/>
      <c r="AL32" s="53">
        <f t="shared" si="28"/>
        <v>192000</v>
      </c>
      <c r="AM32" s="53">
        <f t="shared" si="29"/>
        <v>96000</v>
      </c>
      <c r="AN32" s="53">
        <f t="shared" si="30"/>
        <v>64000</v>
      </c>
    </row>
    <row r="33" spans="1:40" ht="13" customHeight="1" x14ac:dyDescent="0.15">
      <c r="A33" s="40"/>
      <c r="B33" s="54" t="s">
        <v>20</v>
      </c>
      <c r="C33" s="75" t="s">
        <v>60</v>
      </c>
      <c r="D33" s="54" t="s">
        <v>24</v>
      </c>
      <c r="E33" s="54" t="s">
        <v>25</v>
      </c>
      <c r="F33" s="54" t="s">
        <v>26</v>
      </c>
      <c r="G33" s="61">
        <v>4.0000000000000001E-3</v>
      </c>
      <c r="H33" s="57">
        <f>G33*$H$48</f>
        <v>600000</v>
      </c>
      <c r="I33" s="88"/>
      <c r="J33" s="88"/>
      <c r="K33" s="46">
        <v>100</v>
      </c>
      <c r="L33" s="88"/>
      <c r="M33" s="88"/>
      <c r="N33" s="66"/>
      <c r="O33" s="66"/>
      <c r="P33" s="67"/>
      <c r="Q33" s="66"/>
      <c r="R33" s="66"/>
      <c r="S33" s="66"/>
      <c r="T33" s="66"/>
      <c r="U33" s="66"/>
      <c r="V33" s="66"/>
      <c r="W33" s="66"/>
      <c r="X33" s="66"/>
      <c r="Y33" s="66"/>
      <c r="Z33" s="66"/>
      <c r="AA33" s="66"/>
      <c r="AB33" s="66"/>
      <c r="AC33" s="66"/>
      <c r="AD33" s="66"/>
      <c r="AE33" s="66"/>
      <c r="AF33" s="66"/>
      <c r="AG33" s="66"/>
      <c r="AH33" s="66"/>
      <c r="AI33" s="66"/>
      <c r="AJ33" s="66"/>
      <c r="AK33" s="66"/>
      <c r="AL33" s="66"/>
      <c r="AM33" s="66"/>
      <c r="AN33" s="66"/>
    </row>
    <row r="34" spans="1:40" ht="16" customHeight="1" outlineLevel="1" x14ac:dyDescent="0.2">
      <c r="A34" s="40"/>
      <c r="B34" s="89" t="s">
        <v>69</v>
      </c>
      <c r="C34" s="90"/>
      <c r="D34" s="90"/>
      <c r="E34" s="90"/>
      <c r="F34" s="90"/>
      <c r="G34" s="91"/>
      <c r="H34" s="92">
        <f>SUM(H24:H33)</f>
        <v>29100000</v>
      </c>
      <c r="I34" s="110"/>
      <c r="J34" s="111"/>
      <c r="K34" s="93">
        <f>SUM(K24:K32)</f>
        <v>24.361904761904764</v>
      </c>
      <c r="L34" s="111"/>
      <c r="M34" s="96"/>
      <c r="N34" s="93">
        <f>SUM(N24:N32)</f>
        <v>48279047.619047619</v>
      </c>
      <c r="O34" s="94"/>
      <c r="P34" s="95"/>
      <c r="Q34" s="93">
        <f>SUM(Q24:Q32)</f>
        <v>19793073.593073592</v>
      </c>
      <c r="R34" s="96"/>
      <c r="S34" s="96"/>
      <c r="T34" s="96"/>
      <c r="U34" s="96"/>
      <c r="V34" s="93">
        <f>SUM(V24:V32)</f>
        <v>19793073.593073592</v>
      </c>
      <c r="W34" s="93">
        <f>SUM(W24:W32)</f>
        <v>9896536.7965367958</v>
      </c>
      <c r="X34" s="93">
        <f>SUM(X24:X32)</f>
        <v>4948268.3982683979</v>
      </c>
      <c r="Y34" s="93">
        <f>SUM(Y24:Y32)</f>
        <v>4948268.3982683979</v>
      </c>
      <c r="Z34" s="97">
        <f>AVERAGE(Z24:Z33)</f>
        <v>2.666666666666667E-3</v>
      </c>
      <c r="AA34" s="91"/>
      <c r="AB34" s="91"/>
      <c r="AC34" s="91"/>
      <c r="AD34" s="96"/>
      <c r="AE34" s="96"/>
      <c r="AF34" s="96"/>
      <c r="AG34" s="96"/>
      <c r="AH34" s="94"/>
      <c r="AI34" s="92">
        <f>SUM(AI24:AI32)</f>
        <v>47899238.095238104</v>
      </c>
      <c r="AJ34" s="93">
        <f t="shared" ref="AJ34:AJ39" si="31">AI34/$AH$10</f>
        <v>21772.380952380958</v>
      </c>
      <c r="AK34" s="92"/>
      <c r="AL34" s="92">
        <f>SUM(AL24:AL32)</f>
        <v>26126857.142857142</v>
      </c>
      <c r="AM34" s="92">
        <f>SUM(AM24:AM32)</f>
        <v>13063428.571428571</v>
      </c>
      <c r="AN34" s="92">
        <f>SUM(AN24:AN32)</f>
        <v>8708952.3809523806</v>
      </c>
    </row>
    <row r="35" spans="1:40" ht="13" customHeight="1" x14ac:dyDescent="0.15">
      <c r="A35" s="40"/>
      <c r="B35" s="40" t="s">
        <v>20</v>
      </c>
      <c r="C35" s="68" t="s">
        <v>70</v>
      </c>
      <c r="D35" s="54" t="s">
        <v>53</v>
      </c>
      <c r="E35" s="54" t="s">
        <v>22</v>
      </c>
      <c r="F35" s="54" t="s">
        <v>21</v>
      </c>
      <c r="G35" s="76">
        <v>0.02</v>
      </c>
      <c r="H35" s="57">
        <f>G35*$H$48</f>
        <v>3000000</v>
      </c>
      <c r="I35" s="44"/>
      <c r="J35" s="44"/>
      <c r="K35" s="44"/>
      <c r="L35" s="44"/>
      <c r="M35" s="44"/>
      <c r="N35" s="59">
        <f>H35/O35*1000</f>
        <v>12000000</v>
      </c>
      <c r="O35" s="57">
        <v>250</v>
      </c>
      <c r="P35" s="60">
        <v>2.5</v>
      </c>
      <c r="Q35" s="59">
        <f>N35/P35</f>
        <v>4800000</v>
      </c>
      <c r="R35" s="48">
        <f>SUM(S35:U35)</f>
        <v>1</v>
      </c>
      <c r="S35" s="48">
        <v>0.2</v>
      </c>
      <c r="T35" s="48">
        <v>0.4</v>
      </c>
      <c r="U35" s="48">
        <v>0.4</v>
      </c>
      <c r="V35" s="47">
        <f>SUM(W35:Y35)</f>
        <v>4800000</v>
      </c>
      <c r="W35" s="47">
        <f t="shared" ref="W35:Y39" si="32">$Q35*S35</f>
        <v>960000</v>
      </c>
      <c r="X35" s="47">
        <f t="shared" si="32"/>
        <v>1920000</v>
      </c>
      <c r="Y35" s="47">
        <f t="shared" si="32"/>
        <v>1920000</v>
      </c>
      <c r="Z35" s="77">
        <v>4.1999999999999997E-3</v>
      </c>
      <c r="AA35" s="51">
        <v>4.0000000000000001E-3</v>
      </c>
      <c r="AB35" s="51">
        <v>4.0000000000000001E-3</v>
      </c>
      <c r="AC35" s="51">
        <v>3.0000000000000001E-3</v>
      </c>
      <c r="AD35" s="58">
        <f>AVERAGE(AE35:AG35)</f>
        <v>0.40000000000000008</v>
      </c>
      <c r="AE35" s="48">
        <v>0.4</v>
      </c>
      <c r="AF35" s="48">
        <v>0.4</v>
      </c>
      <c r="AG35" s="48">
        <v>0.4</v>
      </c>
      <c r="AH35" s="78">
        <v>2200</v>
      </c>
      <c r="AI35" s="78">
        <f>SUM(AL35:AN35)</f>
        <v>15206400</v>
      </c>
      <c r="AJ35" s="49">
        <f t="shared" si="31"/>
        <v>6912</v>
      </c>
      <c r="AK35" s="54"/>
      <c r="AL35" s="53">
        <f t="shared" ref="AL35:AN39" si="33">W35*AA35*AE35*$AH$2</f>
        <v>3379200</v>
      </c>
      <c r="AM35" s="53">
        <f t="shared" si="33"/>
        <v>6758400</v>
      </c>
      <c r="AN35" s="53">
        <f t="shared" si="33"/>
        <v>5068800</v>
      </c>
    </row>
    <row r="36" spans="1:40" ht="13" customHeight="1" x14ac:dyDescent="0.15">
      <c r="A36" s="40"/>
      <c r="B36" s="54" t="s">
        <v>20</v>
      </c>
      <c r="C36" s="68" t="s">
        <v>70</v>
      </c>
      <c r="D36" s="54" t="s">
        <v>55</v>
      </c>
      <c r="E36" s="54" t="s">
        <v>22</v>
      </c>
      <c r="F36" s="54" t="s">
        <v>54</v>
      </c>
      <c r="G36" s="76">
        <v>0.02</v>
      </c>
      <c r="H36" s="57">
        <f>G36*$H$48</f>
        <v>3000000</v>
      </c>
      <c r="I36" s="44"/>
      <c r="J36" s="44"/>
      <c r="K36" s="44"/>
      <c r="L36" s="44"/>
      <c r="M36" s="44"/>
      <c r="N36" s="59">
        <f>H36/O36*1000</f>
        <v>10000000</v>
      </c>
      <c r="O36" s="57">
        <v>300</v>
      </c>
      <c r="P36" s="60">
        <v>2.5</v>
      </c>
      <c r="Q36" s="59">
        <f>N36/P36</f>
        <v>4000000</v>
      </c>
      <c r="R36" s="48">
        <f>SUM(S36:U36)</f>
        <v>1</v>
      </c>
      <c r="S36" s="48">
        <v>0.2</v>
      </c>
      <c r="T36" s="48">
        <v>0.4</v>
      </c>
      <c r="U36" s="48">
        <v>0.4</v>
      </c>
      <c r="V36" s="47">
        <f>SUM(W36:Y36)</f>
        <v>4000000</v>
      </c>
      <c r="W36" s="47">
        <f t="shared" si="32"/>
        <v>800000</v>
      </c>
      <c r="X36" s="47">
        <f t="shared" si="32"/>
        <v>1600000</v>
      </c>
      <c r="Y36" s="47">
        <f t="shared" si="32"/>
        <v>1600000</v>
      </c>
      <c r="Z36" s="77">
        <f>AVERAGE(AA36:AC36)</f>
        <v>3.6666666666666666E-3</v>
      </c>
      <c r="AA36" s="51">
        <v>4.0000000000000001E-3</v>
      </c>
      <c r="AB36" s="51">
        <v>4.0000000000000001E-3</v>
      </c>
      <c r="AC36" s="51">
        <v>3.0000000000000001E-3</v>
      </c>
      <c r="AD36" s="58">
        <f>AVERAGE(AE36:AG36)</f>
        <v>0.40000000000000008</v>
      </c>
      <c r="AE36" s="48">
        <v>0.4</v>
      </c>
      <c r="AF36" s="48">
        <v>0.4</v>
      </c>
      <c r="AG36" s="48">
        <v>0.4</v>
      </c>
      <c r="AH36" s="78">
        <v>2200</v>
      </c>
      <c r="AI36" s="78">
        <f>SUM(AL36:AN36)</f>
        <v>12672000</v>
      </c>
      <c r="AJ36" s="49">
        <f t="shared" si="31"/>
        <v>5760</v>
      </c>
      <c r="AK36" s="54"/>
      <c r="AL36" s="53">
        <f t="shared" si="33"/>
        <v>2816000</v>
      </c>
      <c r="AM36" s="53">
        <f t="shared" si="33"/>
        <v>5632000</v>
      </c>
      <c r="AN36" s="53">
        <f t="shared" si="33"/>
        <v>4224000</v>
      </c>
    </row>
    <row r="37" spans="1:40" ht="16.5" customHeight="1" x14ac:dyDescent="0.15">
      <c r="A37" s="40"/>
      <c r="B37" s="54" t="s">
        <v>20</v>
      </c>
      <c r="C37" s="68" t="s">
        <v>70</v>
      </c>
      <c r="D37" s="54" t="s">
        <v>57</v>
      </c>
      <c r="E37" s="54" t="s">
        <v>22</v>
      </c>
      <c r="F37" s="54" t="s">
        <v>54</v>
      </c>
      <c r="G37" s="76">
        <v>0.02</v>
      </c>
      <c r="H37" s="57">
        <f>G37*$H$48</f>
        <v>3000000</v>
      </c>
      <c r="I37" s="44"/>
      <c r="J37" s="44"/>
      <c r="K37" s="44"/>
      <c r="L37" s="44"/>
      <c r="M37" s="44"/>
      <c r="N37" s="59">
        <f>H37/O37*1000</f>
        <v>10000000</v>
      </c>
      <c r="O37" s="57">
        <v>300</v>
      </c>
      <c r="P37" s="60">
        <v>2.5</v>
      </c>
      <c r="Q37" s="59">
        <f>N37/P37</f>
        <v>4000000</v>
      </c>
      <c r="R37" s="48">
        <f>SUM(S37:U37)</f>
        <v>1</v>
      </c>
      <c r="S37" s="48">
        <v>0.2</v>
      </c>
      <c r="T37" s="48">
        <v>0.4</v>
      </c>
      <c r="U37" s="48">
        <v>0.4</v>
      </c>
      <c r="V37" s="47">
        <f>SUM(W37:Y37)</f>
        <v>4000000</v>
      </c>
      <c r="W37" s="47">
        <f t="shared" si="32"/>
        <v>800000</v>
      </c>
      <c r="X37" s="47">
        <f t="shared" si="32"/>
        <v>1600000</v>
      </c>
      <c r="Y37" s="47">
        <f t="shared" si="32"/>
        <v>1600000</v>
      </c>
      <c r="Z37" s="77">
        <f>AVERAGE(AA37:AC37)</f>
        <v>3.6666666666666666E-3</v>
      </c>
      <c r="AA37" s="51">
        <v>4.0000000000000001E-3</v>
      </c>
      <c r="AB37" s="51">
        <v>4.0000000000000001E-3</v>
      </c>
      <c r="AC37" s="51">
        <v>3.0000000000000001E-3</v>
      </c>
      <c r="AD37" s="58">
        <f>AVERAGE(AE37:AG37)</f>
        <v>0.40000000000000008</v>
      </c>
      <c r="AE37" s="48">
        <v>0.4</v>
      </c>
      <c r="AF37" s="48">
        <v>0.4</v>
      </c>
      <c r="AG37" s="48">
        <v>0.4</v>
      </c>
      <c r="AH37" s="78">
        <v>2200</v>
      </c>
      <c r="AI37" s="78">
        <f>SUM(AL37:AN37)</f>
        <v>12672000</v>
      </c>
      <c r="AJ37" s="49">
        <f t="shared" si="31"/>
        <v>5760</v>
      </c>
      <c r="AK37" s="54"/>
      <c r="AL37" s="53">
        <f t="shared" si="33"/>
        <v>2816000</v>
      </c>
      <c r="AM37" s="53">
        <f t="shared" si="33"/>
        <v>5632000</v>
      </c>
      <c r="AN37" s="53">
        <f t="shared" si="33"/>
        <v>4224000</v>
      </c>
    </row>
    <row r="38" spans="1:40" ht="13" customHeight="1" x14ac:dyDescent="0.15">
      <c r="A38" s="40"/>
      <c r="B38" s="62" t="s">
        <v>20</v>
      </c>
      <c r="C38" s="68" t="s">
        <v>70</v>
      </c>
      <c r="D38" s="54" t="s">
        <v>53</v>
      </c>
      <c r="E38" s="54" t="s">
        <v>22</v>
      </c>
      <c r="F38" s="54" t="s">
        <v>48</v>
      </c>
      <c r="G38" s="76">
        <v>0.02</v>
      </c>
      <c r="H38" s="57">
        <f>G38*$H$48</f>
        <v>3000000</v>
      </c>
      <c r="I38" s="44"/>
      <c r="J38" s="44"/>
      <c r="K38" s="44"/>
      <c r="L38" s="44"/>
      <c r="M38" s="44"/>
      <c r="N38" s="59">
        <f>H38/O38*1000</f>
        <v>15000000</v>
      </c>
      <c r="O38" s="57">
        <v>200</v>
      </c>
      <c r="P38" s="60">
        <v>2.5</v>
      </c>
      <c r="Q38" s="59">
        <f>N38/P38</f>
        <v>6000000</v>
      </c>
      <c r="R38" s="48">
        <f>SUM(S38:U38)</f>
        <v>1</v>
      </c>
      <c r="S38" s="48">
        <v>0.2</v>
      </c>
      <c r="T38" s="48">
        <v>0.4</v>
      </c>
      <c r="U38" s="48">
        <v>0.4</v>
      </c>
      <c r="V38" s="47">
        <f>SUM(W38:Y38)</f>
        <v>6000000</v>
      </c>
      <c r="W38" s="47">
        <f t="shared" si="32"/>
        <v>1200000</v>
      </c>
      <c r="X38" s="47">
        <f t="shared" si="32"/>
        <v>2400000</v>
      </c>
      <c r="Y38" s="47">
        <f t="shared" si="32"/>
        <v>2400000</v>
      </c>
      <c r="Z38" s="77">
        <f>AVERAGE(AA38:AC38)</f>
        <v>3.6666666666666666E-3</v>
      </c>
      <c r="AA38" s="51">
        <v>4.0000000000000001E-3</v>
      </c>
      <c r="AB38" s="51">
        <v>4.0000000000000001E-3</v>
      </c>
      <c r="AC38" s="51">
        <v>3.0000000000000001E-3</v>
      </c>
      <c r="AD38" s="58">
        <f>AVERAGE(AE38:AG38)</f>
        <v>0.40000000000000008</v>
      </c>
      <c r="AE38" s="48">
        <v>0.4</v>
      </c>
      <c r="AF38" s="48">
        <v>0.4</v>
      </c>
      <c r="AG38" s="48">
        <v>0.4</v>
      </c>
      <c r="AH38" s="78">
        <v>2200</v>
      </c>
      <c r="AI38" s="78">
        <f>SUM(AL38:AN38)</f>
        <v>19008000</v>
      </c>
      <c r="AJ38" s="49">
        <f t="shared" si="31"/>
        <v>8640</v>
      </c>
      <c r="AK38" s="54"/>
      <c r="AL38" s="53">
        <f t="shared" si="33"/>
        <v>4224000</v>
      </c>
      <c r="AM38" s="53">
        <f t="shared" si="33"/>
        <v>8448000</v>
      </c>
      <c r="AN38" s="53">
        <f t="shared" si="33"/>
        <v>6336000</v>
      </c>
    </row>
    <row r="39" spans="1:40" ht="13" customHeight="1" x14ac:dyDescent="0.15">
      <c r="A39" s="40"/>
      <c r="B39" s="62" t="s">
        <v>20</v>
      </c>
      <c r="C39" s="68" t="s">
        <v>70</v>
      </c>
      <c r="D39" s="62" t="s">
        <v>57</v>
      </c>
      <c r="E39" s="62" t="s">
        <v>22</v>
      </c>
      <c r="F39" s="62" t="s">
        <v>58</v>
      </c>
      <c r="G39" s="76">
        <v>0.02</v>
      </c>
      <c r="H39" s="65">
        <f>G39*$H$48</f>
        <v>3000000</v>
      </c>
      <c r="I39" s="66"/>
      <c r="J39" s="66"/>
      <c r="K39" s="66"/>
      <c r="L39" s="66"/>
      <c r="M39" s="66"/>
      <c r="N39" s="83">
        <f>H39/O39*1000</f>
        <v>15000000</v>
      </c>
      <c r="O39" s="65">
        <v>200</v>
      </c>
      <c r="P39" s="84">
        <v>1.1000000000000001</v>
      </c>
      <c r="Q39" s="83">
        <f>N39/P39</f>
        <v>13636363.636363635</v>
      </c>
      <c r="R39" s="48">
        <f>SUM(S39:U39)</f>
        <v>1</v>
      </c>
      <c r="S39" s="48">
        <v>0.2</v>
      </c>
      <c r="T39" s="48">
        <v>0.4</v>
      </c>
      <c r="U39" s="48">
        <v>0.4</v>
      </c>
      <c r="V39" s="85">
        <f>SUM(W39:Y39)</f>
        <v>13636363.636363637</v>
      </c>
      <c r="W39" s="85">
        <f t="shared" si="32"/>
        <v>2727272.7272727271</v>
      </c>
      <c r="X39" s="85">
        <f t="shared" si="32"/>
        <v>5454545.4545454541</v>
      </c>
      <c r="Y39" s="85">
        <f t="shared" si="32"/>
        <v>5454545.4545454541</v>
      </c>
      <c r="Z39" s="86">
        <f>AVERAGE(AA39:AC39)</f>
        <v>3.6666666666666666E-3</v>
      </c>
      <c r="AA39" s="51">
        <v>4.0000000000000001E-3</v>
      </c>
      <c r="AB39" s="51">
        <v>4.0000000000000001E-3</v>
      </c>
      <c r="AC39" s="51">
        <v>3.0000000000000001E-3</v>
      </c>
      <c r="AD39" s="52">
        <f>AVERAGE(AE39:AG39)</f>
        <v>0.40000000000000008</v>
      </c>
      <c r="AE39" s="48">
        <v>0.4</v>
      </c>
      <c r="AF39" s="48">
        <v>0.4</v>
      </c>
      <c r="AG39" s="48">
        <v>0.4</v>
      </c>
      <c r="AH39" s="87">
        <v>2200</v>
      </c>
      <c r="AI39" s="87">
        <f>SUM(AL39:AN39)</f>
        <v>43199999.999999993</v>
      </c>
      <c r="AJ39" s="49">
        <f t="shared" si="31"/>
        <v>19636.363636363632</v>
      </c>
      <c r="AK39" s="62"/>
      <c r="AL39" s="53">
        <f t="shared" si="33"/>
        <v>9599999.9999999981</v>
      </c>
      <c r="AM39" s="53">
        <f t="shared" si="33"/>
        <v>19199999.999999996</v>
      </c>
      <c r="AN39" s="53">
        <f t="shared" si="33"/>
        <v>14400000</v>
      </c>
    </row>
    <row r="40" spans="1:40" ht="16" customHeight="1" outlineLevel="1" x14ac:dyDescent="0.2">
      <c r="A40" s="40"/>
      <c r="B40" s="89" t="s">
        <v>71</v>
      </c>
      <c r="C40" s="90"/>
      <c r="D40" s="90"/>
      <c r="E40" s="90"/>
      <c r="F40" s="90"/>
      <c r="G40" s="91"/>
      <c r="H40" s="92">
        <f>SUM(H35:H39)</f>
        <v>15000000</v>
      </c>
      <c r="I40" s="111"/>
      <c r="J40" s="111"/>
      <c r="K40" s="93">
        <f>SUM(K29:K37)</f>
        <v>130.39047619047619</v>
      </c>
      <c r="L40" s="111"/>
      <c r="M40" s="111"/>
      <c r="N40" s="93">
        <f>SUM(N35:N39)</f>
        <v>62000000</v>
      </c>
      <c r="O40" s="111"/>
      <c r="P40" s="111"/>
      <c r="Q40" s="93">
        <f>SUM(Q35:Q39)</f>
        <v>32436363.636363633</v>
      </c>
      <c r="R40" s="111"/>
      <c r="S40" s="111"/>
      <c r="T40" s="111"/>
      <c r="U40" s="111"/>
      <c r="V40" s="93">
        <f>SUM(V35:V39)</f>
        <v>32436363.636363637</v>
      </c>
      <c r="W40" s="93">
        <f>SUM(W35:W39)</f>
        <v>6487272.7272727266</v>
      </c>
      <c r="X40" s="93">
        <f>SUM(X35:X39)</f>
        <v>12974545.454545453</v>
      </c>
      <c r="Y40" s="93">
        <f>SUM(Y35:Y39)</f>
        <v>12974545.454545453</v>
      </c>
      <c r="Z40" s="97">
        <f>AVERAGE(Z29:Z39)</f>
        <v>3.2199999999999993E-3</v>
      </c>
      <c r="AA40" s="91"/>
      <c r="AB40" s="91"/>
      <c r="AC40" s="91"/>
      <c r="AD40" s="96"/>
      <c r="AE40" s="96"/>
      <c r="AF40" s="96"/>
      <c r="AG40" s="96"/>
      <c r="AH40" s="94"/>
      <c r="AI40" s="92">
        <f>SUM(AI35:AI39)</f>
        <v>102758400</v>
      </c>
      <c r="AJ40" s="93">
        <f>SUM(AJ35:AJ39)</f>
        <v>46708.363636363632</v>
      </c>
      <c r="AK40" s="92"/>
      <c r="AL40" s="92">
        <f>SUM(AL35:AL39)</f>
        <v>22835200</v>
      </c>
      <c r="AM40" s="92">
        <f>SUM(AM35:AM39)</f>
        <v>45670400</v>
      </c>
      <c r="AN40" s="92">
        <f>SUM(AN35:AN39)</f>
        <v>34252800</v>
      </c>
    </row>
    <row r="41" spans="1:40" ht="13" customHeight="1" x14ac:dyDescent="0.15">
      <c r="A41" s="40"/>
      <c r="B41" s="40" t="s">
        <v>20</v>
      </c>
      <c r="C41" s="68" t="s">
        <v>72</v>
      </c>
      <c r="D41" s="40" t="s">
        <v>73</v>
      </c>
      <c r="E41" s="40" t="s">
        <v>19</v>
      </c>
      <c r="F41" s="40" t="s">
        <v>21</v>
      </c>
      <c r="G41" s="112">
        <v>0.02</v>
      </c>
      <c r="H41" s="65">
        <v>2000000</v>
      </c>
      <c r="I41" s="72">
        <v>3</v>
      </c>
      <c r="J41" s="45">
        <f>H41/I41</f>
        <v>666666.66666666663</v>
      </c>
      <c r="K41" s="46">
        <f>J41/L41</f>
        <v>6.6666666666666661</v>
      </c>
      <c r="L41" s="45">
        <v>100000</v>
      </c>
      <c r="M41" s="73">
        <v>0.2</v>
      </c>
      <c r="N41" s="45">
        <f>J41*M41</f>
        <v>133333.33333333334</v>
      </c>
      <c r="O41" s="43">
        <f>H41*1000/N41</f>
        <v>14999.999999999998</v>
      </c>
      <c r="P41" s="46">
        <v>1.1000000000000001</v>
      </c>
      <c r="Q41" s="45">
        <f>N41/P41</f>
        <v>121212.12121212122</v>
      </c>
      <c r="R41" s="48">
        <f>SUM(S41:U41)</f>
        <v>1</v>
      </c>
      <c r="S41" s="48">
        <f t="shared" ref="S41:U44" si="34">1/3</f>
        <v>0.33333333333333331</v>
      </c>
      <c r="T41" s="48">
        <f t="shared" si="34"/>
        <v>0.33333333333333331</v>
      </c>
      <c r="U41" s="48">
        <f t="shared" si="34"/>
        <v>0.33333333333333331</v>
      </c>
      <c r="V41" s="49">
        <f>SUM(W41:Y41)</f>
        <v>121212.12121212122</v>
      </c>
      <c r="W41" s="49">
        <f t="shared" ref="W41:Y44" si="35">$Q41*S41</f>
        <v>40404.040404040403</v>
      </c>
      <c r="X41" s="49">
        <f t="shared" si="35"/>
        <v>40404.040404040403</v>
      </c>
      <c r="Y41" s="49">
        <f t="shared" si="35"/>
        <v>40404.040404040403</v>
      </c>
      <c r="Z41" s="50">
        <f>AVERAGE(AA41:AC41)</f>
        <v>3.6666666666666666E-3</v>
      </c>
      <c r="AA41" s="51">
        <v>4.0000000000000001E-3</v>
      </c>
      <c r="AB41" s="51">
        <v>4.0000000000000001E-3</v>
      </c>
      <c r="AC41" s="51">
        <v>3.0000000000000001E-3</v>
      </c>
      <c r="AD41" s="48">
        <f>AVERAGE(AE41:AG41)</f>
        <v>0.40000000000000008</v>
      </c>
      <c r="AE41" s="48">
        <v>0.4</v>
      </c>
      <c r="AF41" s="48">
        <v>0.4</v>
      </c>
      <c r="AG41" s="48">
        <v>0.4</v>
      </c>
      <c r="AH41" s="53">
        <v>2200</v>
      </c>
      <c r="AI41" s="53">
        <f>SUM(AL41:AN41)</f>
        <v>391111.11111111112</v>
      </c>
      <c r="AJ41" s="49">
        <f>AI41/$AH$10</f>
        <v>177.77777777777777</v>
      </c>
      <c r="AK41" s="40"/>
      <c r="AL41" s="53">
        <f t="shared" ref="AL41:AN44" si="36">W41*AA41*AE41*$AH$2</f>
        <v>142222.22222222222</v>
      </c>
      <c r="AM41" s="53">
        <f t="shared" si="36"/>
        <v>142222.22222222222</v>
      </c>
      <c r="AN41" s="53">
        <f t="shared" si="36"/>
        <v>106666.66666666667</v>
      </c>
    </row>
    <row r="42" spans="1:40" ht="13" customHeight="1" x14ac:dyDescent="0.15">
      <c r="A42" s="40"/>
      <c r="B42" s="54" t="s">
        <v>20</v>
      </c>
      <c r="C42" s="68" t="s">
        <v>72</v>
      </c>
      <c r="D42" s="40" t="s">
        <v>73</v>
      </c>
      <c r="E42" s="54" t="s">
        <v>19</v>
      </c>
      <c r="F42" s="54" t="s">
        <v>54</v>
      </c>
      <c r="G42" s="113">
        <v>0.02</v>
      </c>
      <c r="H42" s="65">
        <v>2000000</v>
      </c>
      <c r="I42" s="79">
        <v>3.5</v>
      </c>
      <c r="J42" s="59">
        <f>H42/I42</f>
        <v>571428.57142857148</v>
      </c>
      <c r="K42" s="60">
        <f>J42/L42</f>
        <v>3.8095238095238098</v>
      </c>
      <c r="L42" s="59">
        <v>150000</v>
      </c>
      <c r="M42" s="80">
        <v>0.2</v>
      </c>
      <c r="N42" s="59">
        <f>J42*M42</f>
        <v>114285.7142857143</v>
      </c>
      <c r="O42" s="57">
        <f>H42*1000/N42</f>
        <v>17499.999999999996</v>
      </c>
      <c r="P42" s="60">
        <v>1.1000000000000001</v>
      </c>
      <c r="Q42" s="59">
        <f>N42/P42</f>
        <v>103896.1038961039</v>
      </c>
      <c r="R42" s="48">
        <f>SUM(S42:U42)</f>
        <v>1</v>
      </c>
      <c r="S42" s="58">
        <f t="shared" si="34"/>
        <v>0.33333333333333331</v>
      </c>
      <c r="T42" s="58">
        <f t="shared" si="34"/>
        <v>0.33333333333333331</v>
      </c>
      <c r="U42" s="58">
        <f t="shared" si="34"/>
        <v>0.33333333333333331</v>
      </c>
      <c r="V42" s="47">
        <f>SUM(W42:Y42)</f>
        <v>103896.10389610389</v>
      </c>
      <c r="W42" s="47">
        <f t="shared" si="35"/>
        <v>34632.034632034629</v>
      </c>
      <c r="X42" s="47">
        <f t="shared" si="35"/>
        <v>34632.034632034629</v>
      </c>
      <c r="Y42" s="47">
        <f t="shared" si="35"/>
        <v>34632.034632034629</v>
      </c>
      <c r="Z42" s="77">
        <f>AVERAGE(AA42:AC42)</f>
        <v>3.6666666666666666E-3</v>
      </c>
      <c r="AA42" s="51">
        <v>4.0000000000000001E-3</v>
      </c>
      <c r="AB42" s="51">
        <v>4.0000000000000001E-3</v>
      </c>
      <c r="AC42" s="51">
        <v>3.0000000000000001E-3</v>
      </c>
      <c r="AD42" s="58">
        <f>AVERAGE(AE42:AG42)</f>
        <v>0.40000000000000008</v>
      </c>
      <c r="AE42" s="48">
        <v>0.4</v>
      </c>
      <c r="AF42" s="48">
        <v>0.4</v>
      </c>
      <c r="AG42" s="48">
        <v>0.4</v>
      </c>
      <c r="AH42" s="78">
        <v>2200</v>
      </c>
      <c r="AI42" s="78">
        <f>SUM(AL42:AN42)</f>
        <v>335238.09523809527</v>
      </c>
      <c r="AJ42" s="49">
        <f>AI42/$AH$10</f>
        <v>152.38095238095238</v>
      </c>
      <c r="AK42" s="54"/>
      <c r="AL42" s="53">
        <f t="shared" si="36"/>
        <v>121904.76190476191</v>
      </c>
      <c r="AM42" s="53">
        <f t="shared" si="36"/>
        <v>121904.76190476191</v>
      </c>
      <c r="AN42" s="53">
        <f t="shared" si="36"/>
        <v>91428.571428571435</v>
      </c>
    </row>
    <row r="43" spans="1:40" ht="13" customHeight="1" x14ac:dyDescent="0.15">
      <c r="A43" s="40"/>
      <c r="B43" s="54" t="s">
        <v>20</v>
      </c>
      <c r="C43" s="68" t="s">
        <v>72</v>
      </c>
      <c r="D43" s="40" t="s">
        <v>73</v>
      </c>
      <c r="E43" s="54" t="s">
        <v>19</v>
      </c>
      <c r="F43" s="54" t="s">
        <v>58</v>
      </c>
      <c r="G43" s="113">
        <v>0.03</v>
      </c>
      <c r="H43" s="65">
        <v>2500000</v>
      </c>
      <c r="I43" s="79">
        <v>5</v>
      </c>
      <c r="J43" s="59">
        <f>H43/I43</f>
        <v>500000</v>
      </c>
      <c r="K43" s="60">
        <f>J43/L43</f>
        <v>3.3333333333333335</v>
      </c>
      <c r="L43" s="59">
        <v>150000</v>
      </c>
      <c r="M43" s="80">
        <v>0.25</v>
      </c>
      <c r="N43" s="59">
        <f>J43*M43</f>
        <v>125000</v>
      </c>
      <c r="O43" s="57">
        <f>H43*1000/N43</f>
        <v>20000</v>
      </c>
      <c r="P43" s="60">
        <v>1.1000000000000001</v>
      </c>
      <c r="Q43" s="59">
        <f>N43/P43</f>
        <v>113636.36363636363</v>
      </c>
      <c r="R43" s="48">
        <f>SUM(S43:U43)</f>
        <v>1</v>
      </c>
      <c r="S43" s="58">
        <f t="shared" si="34"/>
        <v>0.33333333333333331</v>
      </c>
      <c r="T43" s="58">
        <f t="shared" si="34"/>
        <v>0.33333333333333331</v>
      </c>
      <c r="U43" s="58">
        <f t="shared" si="34"/>
        <v>0.33333333333333331</v>
      </c>
      <c r="V43" s="47">
        <f>SUM(W43:Y43)</f>
        <v>113636.36363636362</v>
      </c>
      <c r="W43" s="47">
        <f t="shared" si="35"/>
        <v>37878.787878787873</v>
      </c>
      <c r="X43" s="47">
        <f t="shared" si="35"/>
        <v>37878.787878787873</v>
      </c>
      <c r="Y43" s="47">
        <f t="shared" si="35"/>
        <v>37878.787878787873</v>
      </c>
      <c r="Z43" s="77">
        <f>AVERAGE(AA43:AC43)</f>
        <v>3.6666666666666666E-3</v>
      </c>
      <c r="AA43" s="51">
        <v>4.0000000000000001E-3</v>
      </c>
      <c r="AB43" s="51">
        <v>4.0000000000000001E-3</v>
      </c>
      <c r="AC43" s="51">
        <v>3.0000000000000001E-3</v>
      </c>
      <c r="AD43" s="58">
        <f>AVERAGE(AE43:AG43)</f>
        <v>0.40000000000000008</v>
      </c>
      <c r="AE43" s="48">
        <v>0.4</v>
      </c>
      <c r="AF43" s="48">
        <v>0.4</v>
      </c>
      <c r="AG43" s="48">
        <v>0.4</v>
      </c>
      <c r="AH43" s="78">
        <v>2200</v>
      </c>
      <c r="AI43" s="78">
        <f>SUM(AL43:AN43)</f>
        <v>366666.66666666663</v>
      </c>
      <c r="AJ43" s="49">
        <f>AI43/$AH$10</f>
        <v>166.66666666666666</v>
      </c>
      <c r="AK43" s="54"/>
      <c r="AL43" s="53">
        <f t="shared" si="36"/>
        <v>133333.33333333331</v>
      </c>
      <c r="AM43" s="53">
        <f t="shared" si="36"/>
        <v>133333.33333333331</v>
      </c>
      <c r="AN43" s="53">
        <f t="shared" si="36"/>
        <v>100000</v>
      </c>
    </row>
    <row r="44" spans="1:40" ht="13" customHeight="1" x14ac:dyDescent="0.15">
      <c r="A44" s="40"/>
      <c r="B44" s="62" t="s">
        <v>20</v>
      </c>
      <c r="C44" s="68" t="s">
        <v>72</v>
      </c>
      <c r="D44" s="62" t="s">
        <v>74</v>
      </c>
      <c r="E44" s="62" t="s">
        <v>22</v>
      </c>
      <c r="F44" s="62" t="s">
        <v>75</v>
      </c>
      <c r="G44" s="114">
        <v>0.03</v>
      </c>
      <c r="H44" s="65">
        <v>15000000</v>
      </c>
      <c r="I44" s="66"/>
      <c r="J44" s="66"/>
      <c r="K44" s="66"/>
      <c r="L44" s="66"/>
      <c r="M44" s="66"/>
      <c r="N44" s="83">
        <f>H44/O44*1000</f>
        <v>75000000</v>
      </c>
      <c r="O44" s="65">
        <v>200</v>
      </c>
      <c r="P44" s="60">
        <v>2.5</v>
      </c>
      <c r="Q44" s="83">
        <f>N44/P44</f>
        <v>30000000</v>
      </c>
      <c r="R44" s="48">
        <f>SUM(S44:U44)</f>
        <v>1</v>
      </c>
      <c r="S44" s="52">
        <f t="shared" si="34"/>
        <v>0.33333333333333331</v>
      </c>
      <c r="T44" s="52">
        <f t="shared" si="34"/>
        <v>0.33333333333333331</v>
      </c>
      <c r="U44" s="52">
        <f t="shared" si="34"/>
        <v>0.33333333333333331</v>
      </c>
      <c r="V44" s="85">
        <f>SUM(W44:Y44)</f>
        <v>30000000</v>
      </c>
      <c r="W44" s="85">
        <f t="shared" si="35"/>
        <v>10000000</v>
      </c>
      <c r="X44" s="85">
        <f t="shared" si="35"/>
        <v>10000000</v>
      </c>
      <c r="Y44" s="85">
        <f t="shared" si="35"/>
        <v>10000000</v>
      </c>
      <c r="Z44" s="86">
        <f>AVERAGE(AA44:AC44)</f>
        <v>3.6666666666666666E-3</v>
      </c>
      <c r="AA44" s="51">
        <v>4.0000000000000001E-3</v>
      </c>
      <c r="AB44" s="51">
        <v>4.0000000000000001E-3</v>
      </c>
      <c r="AC44" s="51">
        <v>3.0000000000000001E-3</v>
      </c>
      <c r="AD44" s="52">
        <f>AVERAGE(AE44:AG44)</f>
        <v>0.40000000000000008</v>
      </c>
      <c r="AE44" s="48">
        <v>0.4</v>
      </c>
      <c r="AF44" s="48">
        <v>0.4</v>
      </c>
      <c r="AG44" s="48">
        <v>0.4</v>
      </c>
      <c r="AH44" s="87">
        <v>2200</v>
      </c>
      <c r="AI44" s="87">
        <f>SUM(AL44:AN44)</f>
        <v>96800000</v>
      </c>
      <c r="AJ44" s="49">
        <f>AI44/$AH$10</f>
        <v>44000</v>
      </c>
      <c r="AK44" s="62"/>
      <c r="AL44" s="53">
        <f t="shared" si="36"/>
        <v>35200000</v>
      </c>
      <c r="AM44" s="53">
        <f t="shared" si="36"/>
        <v>35200000</v>
      </c>
      <c r="AN44" s="53">
        <f t="shared" si="36"/>
        <v>26400000</v>
      </c>
    </row>
    <row r="45" spans="1:40" ht="16" customHeight="1" outlineLevel="1" x14ac:dyDescent="0.2">
      <c r="A45" s="40"/>
      <c r="B45" s="115" t="s">
        <v>76</v>
      </c>
      <c r="C45" s="116"/>
      <c r="D45" s="116"/>
      <c r="E45" s="116"/>
      <c r="F45" s="116"/>
      <c r="G45" s="117"/>
      <c r="H45" s="118">
        <f>SUM(H41:H44)</f>
        <v>21500000</v>
      </c>
      <c r="I45" s="119"/>
      <c r="J45" s="119"/>
      <c r="K45" s="120">
        <f>SUM(K34:K43)</f>
        <v>168.56190476190474</v>
      </c>
      <c r="L45" s="119"/>
      <c r="M45" s="119"/>
      <c r="N45" s="120">
        <f>SUM(N41:N44)</f>
        <v>75372619.047619045</v>
      </c>
      <c r="O45" s="119"/>
      <c r="P45" s="119"/>
      <c r="Q45" s="120">
        <f>SUM(Q41:Q44)</f>
        <v>30338744.588744588</v>
      </c>
      <c r="R45" s="119"/>
      <c r="S45" s="119"/>
      <c r="T45" s="119"/>
      <c r="U45" s="119"/>
      <c r="V45" s="120">
        <f>SUM(V41:V44)</f>
        <v>30338744.588744588</v>
      </c>
      <c r="W45" s="120">
        <f>SUM(W41:W44)</f>
        <v>10112914.862914862</v>
      </c>
      <c r="X45" s="120">
        <f>SUM(X41:X44)</f>
        <v>10112914.862914862</v>
      </c>
      <c r="Y45" s="120">
        <f>SUM(Y41:Y44)</f>
        <v>10112914.862914862</v>
      </c>
      <c r="Z45" s="120">
        <f>AVERAGE(Z34:Z44)</f>
        <v>3.5836363636363635E-3</v>
      </c>
      <c r="AA45" s="119"/>
      <c r="AB45" s="119"/>
      <c r="AC45" s="119"/>
      <c r="AD45" s="119"/>
      <c r="AE45" s="119"/>
      <c r="AF45" s="119"/>
      <c r="AG45" s="119"/>
      <c r="AH45" s="121"/>
      <c r="AI45" s="118">
        <f>SUM(AI41:AI44)</f>
        <v>97893015.873015881</v>
      </c>
      <c r="AJ45" s="120">
        <f>SUM(AJ41:AJ44)</f>
        <v>44496.825396825399</v>
      </c>
      <c r="AK45" s="118"/>
      <c r="AL45" s="118">
        <f>SUM(AL41:AL44)</f>
        <v>35597460.317460321</v>
      </c>
      <c r="AM45" s="118">
        <f>SUM(AM41:AM44)</f>
        <v>35597460.317460321</v>
      </c>
      <c r="AN45" s="118">
        <f>SUM(AN41:AN44)</f>
        <v>26698095.238095239</v>
      </c>
    </row>
    <row r="46" spans="1:40" ht="13" customHeight="1" x14ac:dyDescent="0.15">
      <c r="A46" s="40"/>
      <c r="B46" s="62" t="s">
        <v>20</v>
      </c>
      <c r="C46" s="68" t="s">
        <v>77</v>
      </c>
      <c r="D46" s="62" t="s">
        <v>74</v>
      </c>
      <c r="E46" s="62" t="s">
        <v>22</v>
      </c>
      <c r="F46" s="62" t="s">
        <v>75</v>
      </c>
      <c r="G46" s="114">
        <v>0.05</v>
      </c>
      <c r="H46" s="122">
        <v>16050000.050000001</v>
      </c>
      <c r="I46" s="66"/>
      <c r="J46" s="66"/>
      <c r="K46" s="123"/>
      <c r="L46" s="66"/>
      <c r="M46" s="66"/>
      <c r="N46" s="83">
        <f>H46/O46*1000</f>
        <v>80250000.25</v>
      </c>
      <c r="O46" s="65">
        <v>200</v>
      </c>
      <c r="P46" s="60">
        <v>2.5</v>
      </c>
      <c r="Q46" s="124">
        <f>N46/P46</f>
        <v>32100000.100000001</v>
      </c>
      <c r="R46" s="73">
        <f>SUM(S46:U46)</f>
        <v>1</v>
      </c>
      <c r="S46" s="125">
        <f>1/3</f>
        <v>0.33333333333333331</v>
      </c>
      <c r="T46" s="125">
        <f>1/3</f>
        <v>0.33333333333333331</v>
      </c>
      <c r="U46" s="125">
        <f>1/3</f>
        <v>0.33333333333333331</v>
      </c>
      <c r="V46" s="124">
        <f>SUM(W46:Y46)</f>
        <v>32100000.100000001</v>
      </c>
      <c r="W46" s="126">
        <f>$Q46*S46</f>
        <v>10700000.033333333</v>
      </c>
      <c r="X46" s="126">
        <f>$Q46*T46</f>
        <v>10700000.033333333</v>
      </c>
      <c r="Y46" s="126">
        <f>$Q46*U46</f>
        <v>10700000.033333333</v>
      </c>
      <c r="Z46" s="127">
        <f>AVERAGE(AA46:AC46)</f>
        <v>3.6666666666666666E-3</v>
      </c>
      <c r="AA46" s="51">
        <v>4.0000000000000001E-3</v>
      </c>
      <c r="AB46" s="128">
        <v>4.0000000000000001E-3</v>
      </c>
      <c r="AC46" s="129">
        <v>3.0000000000000001E-3</v>
      </c>
      <c r="AD46" s="130">
        <f>AVERAGE(AE46:AG46)</f>
        <v>0.40000000000000008</v>
      </c>
      <c r="AE46" s="131">
        <v>0.4</v>
      </c>
      <c r="AF46" s="131">
        <v>0.4</v>
      </c>
      <c r="AG46" s="131">
        <v>0.4</v>
      </c>
      <c r="AH46" s="65">
        <v>2200</v>
      </c>
      <c r="AI46" s="132">
        <f>SUM(AL46:AN46)</f>
        <v>103576000.32266666</v>
      </c>
      <c r="AJ46" s="133">
        <f>AI46/$AH$10</f>
        <v>47080.000146666665</v>
      </c>
      <c r="AK46" s="87"/>
      <c r="AL46" s="53">
        <f>W46*AA46*AE46*$AH$2</f>
        <v>37664000.11733333</v>
      </c>
      <c r="AM46" s="53">
        <f>X46*AB46*AF46*$AH$2</f>
        <v>37664000.11733333</v>
      </c>
      <c r="AN46" s="53">
        <f>Y46*AC46*AG46*$AH$2</f>
        <v>28248000.088000003</v>
      </c>
    </row>
    <row r="47" spans="1:40" ht="16" customHeight="1" outlineLevel="1" x14ac:dyDescent="0.2">
      <c r="A47" s="40"/>
      <c r="B47" s="115" t="s">
        <v>78</v>
      </c>
      <c r="C47" s="116"/>
      <c r="D47" s="116"/>
      <c r="E47" s="116"/>
      <c r="F47" s="116"/>
      <c r="G47" s="117"/>
      <c r="H47" s="118">
        <f>SUM(H46)</f>
        <v>16050000.050000001</v>
      </c>
      <c r="I47" s="116"/>
      <c r="J47" s="116"/>
      <c r="K47" s="120"/>
      <c r="L47" s="116"/>
      <c r="M47" s="116"/>
      <c r="N47" s="120">
        <f>SUM(N46)</f>
        <v>80250000.25</v>
      </c>
      <c r="O47" s="119"/>
      <c r="P47" s="134"/>
      <c r="Q47" s="120">
        <f>SUM(Q46)</f>
        <v>32100000.100000001</v>
      </c>
      <c r="R47" s="135"/>
      <c r="S47" s="135"/>
      <c r="T47" s="135"/>
      <c r="U47" s="135"/>
      <c r="V47" s="120">
        <f>SUM(V46)</f>
        <v>32100000.100000001</v>
      </c>
      <c r="W47" s="120">
        <f>SUM(W46)</f>
        <v>10700000.033333333</v>
      </c>
      <c r="X47" s="120">
        <f>SUM(X46)</f>
        <v>10700000.033333333</v>
      </c>
      <c r="Y47" s="120">
        <f>SUM(Y46)</f>
        <v>10700000.033333333</v>
      </c>
      <c r="Z47" s="136">
        <f>Z46</f>
        <v>3.6666666666666666E-3</v>
      </c>
      <c r="AA47" s="117"/>
      <c r="AB47" s="117"/>
      <c r="AC47" s="117"/>
      <c r="AD47" s="135"/>
      <c r="AE47" s="135"/>
      <c r="AF47" s="135"/>
      <c r="AG47" s="135"/>
      <c r="AH47" s="121"/>
      <c r="AI47" s="118">
        <f>SUM(AI46)</f>
        <v>103576000.32266666</v>
      </c>
      <c r="AJ47" s="120">
        <f>AI47/$AH$10</f>
        <v>47080.000146666665</v>
      </c>
      <c r="AK47" s="121"/>
      <c r="AL47" s="118">
        <f>SUM(AL46)</f>
        <v>37664000.11733333</v>
      </c>
      <c r="AM47" s="118">
        <f>SUM(AM46)</f>
        <v>37664000.11733333</v>
      </c>
      <c r="AN47" s="118">
        <f>SUM(AN46)</f>
        <v>28248000.088000003</v>
      </c>
    </row>
    <row r="48" spans="1:40" ht="19" customHeight="1" x14ac:dyDescent="0.2">
      <c r="A48" s="40"/>
      <c r="B48" s="137" t="s">
        <v>27</v>
      </c>
      <c r="C48" s="138"/>
      <c r="D48" s="138"/>
      <c r="E48" s="138"/>
      <c r="F48" s="138"/>
      <c r="G48" s="139">
        <f>SUM(G3:G46)</f>
        <v>1.0196966666666669</v>
      </c>
      <c r="H48" s="140">
        <v>150000000</v>
      </c>
      <c r="I48" s="138"/>
      <c r="J48" s="141"/>
      <c r="K48" s="142">
        <f>SUM(K9,K23,K34,K40,K47)</f>
        <v>257.29206349206351</v>
      </c>
      <c r="L48" s="138"/>
      <c r="M48" s="138"/>
      <c r="N48" s="142">
        <f>SUM(N9,N23,N34,N40)</f>
        <v>201081428.57142857</v>
      </c>
      <c r="O48" s="138"/>
      <c r="P48" s="143"/>
      <c r="Q48" s="144">
        <f>SUM(Q9,Q23,Q34,Q40,Q45,Q47)</f>
        <v>164803679.75367963</v>
      </c>
      <c r="R48" s="138"/>
      <c r="S48" s="138"/>
      <c r="T48" s="138"/>
      <c r="U48" s="138"/>
      <c r="V48" s="138"/>
      <c r="W48" s="138"/>
      <c r="X48" s="138"/>
      <c r="Y48" s="138"/>
      <c r="Z48" s="145">
        <f>AVERAGE(Z9,Z23,Z34,Z40,Z45,Z47)</f>
        <v>3.127393939393939E-3</v>
      </c>
      <c r="AA48" s="138"/>
      <c r="AB48" s="138"/>
      <c r="AC48" s="138"/>
      <c r="AD48" s="146">
        <f>AVERAGE(AD3:AD39)</f>
        <v>0.40000000000000024</v>
      </c>
      <c r="AE48" s="138"/>
      <c r="AF48" s="138"/>
      <c r="AG48" s="138"/>
      <c r="AH48" s="147">
        <v>2200</v>
      </c>
      <c r="AI48" s="148">
        <f>SUM(AI9,AI23,AI34,AI40,AI45,AI47)</f>
        <v>458012825.71949208</v>
      </c>
      <c r="AJ48" s="149">
        <f>SUM(AJ9,AJ23,AJ34,AJ40,AJ45,AJ47)</f>
        <v>208187.64805431457</v>
      </c>
      <c r="AK48" s="148"/>
      <c r="AL48" s="148">
        <f>SUM(AL9,AL23,AL34,AL40,AL45,AL47)</f>
        <v>148695060.43479365</v>
      </c>
      <c r="AM48" s="148">
        <f>SUM(AM9,AM23,AM34,AM40,AM45,AM47)</f>
        <v>176114527.10146031</v>
      </c>
      <c r="AN48" s="148">
        <f>SUM(AN9,AN23,AN34,AN40,AN45,AN47)</f>
        <v>133203238.1832381</v>
      </c>
    </row>
    <row r="49" spans="1:40" ht="16" customHeight="1" x14ac:dyDescent="0.2">
      <c r="A49" s="16"/>
      <c r="B49" s="16"/>
      <c r="C49" s="16"/>
      <c r="D49" s="16"/>
      <c r="E49" s="16"/>
      <c r="F49" s="16"/>
      <c r="G49" s="150"/>
      <c r="H49" s="151"/>
      <c r="I49" s="16"/>
      <c r="J49" s="152"/>
      <c r="K49" s="152"/>
      <c r="L49" s="16"/>
      <c r="M49" s="16"/>
      <c r="N49" s="152"/>
      <c r="O49" s="16"/>
      <c r="P49" s="153"/>
      <c r="Q49" s="152"/>
      <c r="R49" s="16"/>
      <c r="S49" s="16"/>
      <c r="T49" s="16"/>
      <c r="U49" s="16"/>
      <c r="V49" s="16"/>
      <c r="W49" s="16"/>
      <c r="X49" s="16"/>
      <c r="Y49" s="16"/>
      <c r="Z49" s="16"/>
      <c r="AA49" s="16"/>
      <c r="AB49" s="16"/>
      <c r="AC49" s="16"/>
      <c r="AD49" s="16"/>
      <c r="AE49" s="16"/>
      <c r="AF49" s="16"/>
      <c r="AG49" s="16"/>
      <c r="AH49" s="16"/>
      <c r="AI49" s="16"/>
      <c r="AJ49" s="16"/>
      <c r="AK49" s="16"/>
      <c r="AL49" s="16"/>
      <c r="AM49" s="16"/>
      <c r="AN49" s="16"/>
    </row>
  </sheetData>
  <phoneticPr fontId="26"/>
  <conditionalFormatting sqref="G3:G22 G24:G33 G35:G39 G41:G44">
    <cfRule type="colorScale" priority="1">
      <colorScale>
        <cfvo type="min"/>
        <cfvo type="percentile" val="50"/>
        <cfvo type="max"/>
        <color rgb="FFE67C73"/>
        <color rgb="FFFFFFFF"/>
        <color rgb="FF57BB8A"/>
      </colorScale>
    </cfRule>
  </conditionalFormatting>
  <conditionalFormatting sqref="Q10:Q21 Q24:Q32 Q35:Q39 Q41:Q44">
    <cfRule type="colorScale" priority="11">
      <colorScale>
        <cfvo type="min"/>
        <cfvo type="max"/>
        <color rgb="FFFFFFFF"/>
        <color rgb="FF57BB8A"/>
      </colorScale>
    </cfRule>
  </conditionalFormatting>
  <conditionalFormatting sqref="S10:U21 S23:U32 S34:U44">
    <cfRule type="colorScale" priority="5">
      <colorScale>
        <cfvo type="min"/>
        <cfvo type="max"/>
        <color rgb="FFFFFFFF"/>
        <color rgb="FFFFD666"/>
      </colorScale>
    </cfRule>
  </conditionalFormatting>
  <conditionalFormatting sqref="V3:V6 V10:V21 V24:V32 V35:V39 V41:V44">
    <cfRule type="colorScale" priority="10">
      <colorScale>
        <cfvo type="min"/>
        <cfvo type="max"/>
        <color rgb="FFFFFFFF"/>
        <color rgb="FF57BB8A"/>
      </colorScale>
    </cfRule>
  </conditionalFormatting>
  <conditionalFormatting sqref="W3:Y6 W10:Y21 W24:Y32 W35:Y39 W41:Y44">
    <cfRule type="colorScale" priority="4">
      <colorScale>
        <cfvo type="min"/>
        <cfvo type="max"/>
        <color rgb="FFFFFFFF"/>
        <color rgb="FFE67C73"/>
      </colorScale>
    </cfRule>
  </conditionalFormatting>
  <conditionalFormatting sqref="Z3:Z6 Z10:Z21 Z23:Z32 Z34:Z44">
    <cfRule type="colorScale" priority="9">
      <colorScale>
        <cfvo type="min"/>
        <cfvo type="max"/>
        <color rgb="FFFFFFFF"/>
        <color rgb="FFFFD666"/>
      </colorScale>
    </cfRule>
  </conditionalFormatting>
  <conditionalFormatting sqref="AA3:AC6 AA10:AC21 AA23:AC32 AA34:AC44 AA46:AC46">
    <cfRule type="colorScale" priority="2">
      <colorScale>
        <cfvo type="min"/>
        <cfvo type="max"/>
        <color rgb="FFFFFFFF"/>
        <color rgb="FF57BB8A"/>
      </colorScale>
    </cfRule>
  </conditionalFormatting>
  <conditionalFormatting sqref="AD3:AD6 AD10:AD21 AD23:AD32 AD34:AD44">
    <cfRule type="colorScale" priority="8">
      <colorScale>
        <cfvo type="min"/>
        <cfvo type="max"/>
        <color rgb="FFFFFFFF"/>
        <color rgb="FFE67C73"/>
      </colorScale>
    </cfRule>
  </conditionalFormatting>
  <conditionalFormatting sqref="AE3:AG6 AE10:AG21 AE23:AG32 AE34:AG44">
    <cfRule type="colorScale" priority="3">
      <colorScale>
        <cfvo type="min"/>
        <cfvo type="max"/>
        <color rgb="FFFFFFFF"/>
        <color rgb="FFFFD666"/>
      </colorScale>
    </cfRule>
  </conditionalFormatting>
  <conditionalFormatting sqref="AI3:AJ6 AI10:AJ21 AI24:AJ32 AI35:AJ39 AI41:AJ44">
    <cfRule type="colorScale" priority="7">
      <colorScale>
        <cfvo type="min"/>
        <cfvo type="max"/>
        <color rgb="FFFFFFFF"/>
        <color rgb="FFFFD666"/>
      </colorScale>
    </cfRule>
  </conditionalFormatting>
  <conditionalFormatting sqref="AL3:AN6 AL10:AN21 AL24:AN32 AL35:AN39 AL41:AN44 AL46:AN46">
    <cfRule type="colorScale" priority="6">
      <colorScale>
        <cfvo type="min"/>
        <cfvo type="max"/>
        <color rgb="FFFFFFFF"/>
        <color rgb="FFE67C73"/>
      </colorScale>
    </cfRule>
  </conditionalFormatting>
  <dataValidations count="5">
    <dataValidation type="list" allowBlank="1" showErrorMessage="1" sqref="C3:C22 C24:C33 C35:C39 C41:C44 C46" xr:uid="{00000000-0002-0000-0100-000000000000}">
      <formula1>"6-7月,8月,9月,10月,11月,12月"</formula1>
    </dataValidation>
    <dataValidation type="list" allowBlank="1" showErrorMessage="1" sqref="F3:F22 F24:F33 F35:F39 F41:F44 F46" xr:uid="{00000000-0002-0000-0100-000001000000}">
      <formula1>"X,IG Feed,IG Reel,TikTok,YouTube,オフライン,美容メディア,@cosme,全媒体"</formula1>
    </dataValidation>
    <dataValidation type="list" allowBlank="1" showErrorMessage="1" sqref="E3:E22 E24:E33 E35:E39 E41:E44 E46" xr:uid="{00000000-0002-0000-0100-000002000000}">
      <formula1>"配信無,配信有,広告配信"</formula1>
    </dataValidation>
    <dataValidation type="list" allowBlank="1" showErrorMessage="1" sqref="B3" xr:uid="{00000000-0002-0000-0100-000003000000}">
      <formula1>"イノベーター,美容開拓層,美容フォロワー層,美容マス層"</formula1>
    </dataValidation>
    <dataValidation type="list" allowBlank="1" showErrorMessage="1" sqref="B4:B22 B24:B33 B35:B39 B41:B44 B46" xr:uid="{00000000-0002-0000-0100-000004000000}">
      <formula1>"美容開拓層（賢者）,美容開拓層,美容フォロワー層,美容マス層"</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Q34"/>
  <sheetViews>
    <sheetView showGridLines="0" workbookViewId="0">
      <pane xSplit="5" topLeftCell="F1" activePane="topRight" state="frozen"/>
      <selection pane="topRight" activeCell="G2" sqref="G2"/>
    </sheetView>
  </sheetViews>
  <sheetFormatPr baseColWidth="10" defaultColWidth="12.6640625" defaultRowHeight="15.75" customHeight="1" x14ac:dyDescent="0.15"/>
  <cols>
    <col min="1" max="1" width="17.5" customWidth="1"/>
    <col min="2" max="2" width="19.33203125" customWidth="1"/>
    <col min="3" max="3" width="11.33203125" customWidth="1"/>
    <col min="4" max="4" width="20.83203125" customWidth="1"/>
    <col min="5" max="5" width="14.1640625" customWidth="1"/>
    <col min="6" max="6" width="11" customWidth="1"/>
    <col min="7" max="7" width="10.5" customWidth="1"/>
    <col min="8" max="9" width="14.6640625" customWidth="1"/>
    <col min="10" max="10" width="12.6640625" customWidth="1"/>
    <col min="11" max="11" width="18" customWidth="1"/>
    <col min="14" max="14" width="14.6640625" customWidth="1"/>
  </cols>
  <sheetData>
    <row r="3" spans="1:17" ht="15.75" customHeight="1" x14ac:dyDescent="0.15">
      <c r="F3" s="426" t="s">
        <v>79</v>
      </c>
      <c r="G3" s="427"/>
      <c r="H3" s="427"/>
      <c r="I3" s="428"/>
      <c r="J3" s="426" t="s">
        <v>51</v>
      </c>
      <c r="K3" s="427"/>
      <c r="L3" s="427"/>
      <c r="M3" s="428"/>
      <c r="N3" s="426" t="s">
        <v>60</v>
      </c>
      <c r="O3" s="427"/>
      <c r="P3" s="427"/>
      <c r="Q3" s="428"/>
    </row>
    <row r="4" spans="1:17" ht="15.75" customHeight="1" x14ac:dyDescent="0.15">
      <c r="F4" s="426" t="s">
        <v>80</v>
      </c>
      <c r="G4" s="427"/>
      <c r="H4" s="427"/>
      <c r="I4" s="428"/>
      <c r="J4" s="426" t="s">
        <v>81</v>
      </c>
      <c r="K4" s="427"/>
      <c r="L4" s="427"/>
      <c r="M4" s="428"/>
      <c r="N4" s="426" t="s">
        <v>82</v>
      </c>
      <c r="O4" s="427"/>
      <c r="P4" s="427"/>
      <c r="Q4" s="428"/>
    </row>
    <row r="5" spans="1:17" ht="15.75" customHeight="1" x14ac:dyDescent="0.15">
      <c r="F5" s="155" t="s">
        <v>83</v>
      </c>
      <c r="G5" s="155" t="s">
        <v>84</v>
      </c>
      <c r="H5" s="155" t="s">
        <v>85</v>
      </c>
      <c r="I5" s="155" t="s">
        <v>86</v>
      </c>
      <c r="J5" s="155" t="s">
        <v>83</v>
      </c>
      <c r="K5" s="155" t="s">
        <v>84</v>
      </c>
      <c r="L5" s="155" t="s">
        <v>85</v>
      </c>
      <c r="M5" s="155" t="s">
        <v>86</v>
      </c>
      <c r="N5" s="155" t="s">
        <v>87</v>
      </c>
      <c r="O5" s="155" t="s">
        <v>84</v>
      </c>
      <c r="P5" s="155" t="s">
        <v>85</v>
      </c>
      <c r="Q5" s="155" t="s">
        <v>86</v>
      </c>
    </row>
    <row r="6" spans="1:17" ht="15.75" customHeight="1" x14ac:dyDescent="0.15">
      <c r="A6" s="4" t="s">
        <v>88</v>
      </c>
      <c r="B6" s="5" t="s">
        <v>2</v>
      </c>
      <c r="C6" s="5" t="s">
        <v>3</v>
      </c>
      <c r="D6" s="5" t="s">
        <v>4</v>
      </c>
      <c r="E6" s="5" t="s">
        <v>5</v>
      </c>
      <c r="F6" s="426" t="s">
        <v>89</v>
      </c>
      <c r="G6" s="427"/>
      <c r="H6" s="427"/>
      <c r="I6" s="428"/>
      <c r="J6" s="426" t="s">
        <v>90</v>
      </c>
      <c r="K6" s="427"/>
      <c r="L6" s="427"/>
      <c r="M6" s="428"/>
      <c r="N6" s="426"/>
      <c r="O6" s="427"/>
      <c r="P6" s="427"/>
      <c r="Q6" s="428"/>
    </row>
    <row r="7" spans="1:17" ht="15.75" customHeight="1" x14ac:dyDescent="0.15">
      <c r="A7" s="6" t="s">
        <v>91</v>
      </c>
      <c r="B7" s="156" t="s">
        <v>92</v>
      </c>
      <c r="C7" s="7" t="s">
        <v>25</v>
      </c>
      <c r="D7" s="7" t="s">
        <v>93</v>
      </c>
      <c r="E7" s="7" t="s">
        <v>50</v>
      </c>
      <c r="F7" s="155" t="b">
        <v>1</v>
      </c>
      <c r="G7" s="155" t="b">
        <v>1</v>
      </c>
      <c r="H7" s="155" t="b">
        <v>1</v>
      </c>
      <c r="I7" s="155" t="b">
        <v>1</v>
      </c>
      <c r="J7" s="155" t="b">
        <v>0</v>
      </c>
      <c r="K7" s="155" t="b">
        <v>0</v>
      </c>
      <c r="L7" s="155" t="b">
        <v>0</v>
      </c>
      <c r="M7" s="155" t="b">
        <v>0</v>
      </c>
      <c r="N7" s="155" t="b">
        <v>0</v>
      </c>
      <c r="O7" s="155" t="b">
        <v>0</v>
      </c>
      <c r="P7" s="155" t="b">
        <v>0</v>
      </c>
      <c r="Q7" s="155" t="b">
        <v>0</v>
      </c>
    </row>
    <row r="8" spans="1:17" ht="15.75" customHeight="1" x14ac:dyDescent="0.15">
      <c r="A8" s="6" t="s">
        <v>91</v>
      </c>
      <c r="B8" s="156" t="s">
        <v>17</v>
      </c>
      <c r="C8" s="7" t="s">
        <v>19</v>
      </c>
      <c r="D8" s="7" t="s">
        <v>94</v>
      </c>
      <c r="E8" s="7" t="s">
        <v>54</v>
      </c>
      <c r="F8" s="155" t="b">
        <v>0</v>
      </c>
      <c r="G8" s="155" t="b">
        <v>0</v>
      </c>
      <c r="H8" s="155" t="b">
        <v>0</v>
      </c>
      <c r="I8" s="155" t="b">
        <v>0</v>
      </c>
      <c r="J8" s="155" t="b">
        <v>1</v>
      </c>
      <c r="K8" s="155" t="b">
        <v>1</v>
      </c>
      <c r="L8" s="155" t="b">
        <v>1</v>
      </c>
      <c r="M8" s="155" t="b">
        <v>1</v>
      </c>
      <c r="N8" s="155" t="b">
        <v>0</v>
      </c>
      <c r="O8" s="155" t="b">
        <v>0</v>
      </c>
      <c r="P8" s="155" t="b">
        <v>0</v>
      </c>
      <c r="Q8" s="155" t="b">
        <v>0</v>
      </c>
    </row>
    <row r="9" spans="1:17" ht="15.75" customHeight="1" x14ac:dyDescent="0.15">
      <c r="A9" s="6" t="s">
        <v>91</v>
      </c>
      <c r="B9" s="156" t="s">
        <v>17</v>
      </c>
      <c r="C9" s="7" t="s">
        <v>19</v>
      </c>
      <c r="D9" s="7" t="s">
        <v>94</v>
      </c>
      <c r="E9" s="7" t="s">
        <v>21</v>
      </c>
      <c r="F9" s="155" t="b">
        <v>0</v>
      </c>
      <c r="G9" s="155" t="b">
        <v>0</v>
      </c>
      <c r="H9" s="155" t="b">
        <v>0</v>
      </c>
      <c r="I9" s="155" t="b">
        <v>0</v>
      </c>
      <c r="J9" s="155" t="b">
        <v>1</v>
      </c>
      <c r="K9" s="155" t="b">
        <v>1</v>
      </c>
      <c r="L9" s="155" t="b">
        <v>1</v>
      </c>
      <c r="M9" s="155" t="b">
        <v>1</v>
      </c>
      <c r="N9" s="155" t="b">
        <v>0</v>
      </c>
      <c r="O9" s="155" t="b">
        <v>0</v>
      </c>
      <c r="P9" s="155" t="b">
        <v>0</v>
      </c>
      <c r="Q9" s="155" t="b">
        <v>0</v>
      </c>
    </row>
    <row r="10" spans="1:17" ht="15.75" customHeight="1" x14ac:dyDescent="0.15">
      <c r="A10" s="6" t="s">
        <v>91</v>
      </c>
      <c r="B10" s="156" t="s">
        <v>95</v>
      </c>
      <c r="C10" s="7" t="s">
        <v>19</v>
      </c>
      <c r="D10" s="7" t="s">
        <v>42</v>
      </c>
      <c r="E10" s="7" t="s">
        <v>54</v>
      </c>
      <c r="F10" s="155" t="b">
        <v>0</v>
      </c>
      <c r="G10" s="155" t="b">
        <v>0</v>
      </c>
      <c r="H10" s="155" t="b">
        <v>0</v>
      </c>
      <c r="I10" s="155" t="b">
        <v>0</v>
      </c>
      <c r="J10" s="155" t="b">
        <v>1</v>
      </c>
      <c r="K10" s="155" t="b">
        <v>1</v>
      </c>
      <c r="L10" s="155" t="b">
        <v>1</v>
      </c>
      <c r="M10" s="155" t="b">
        <v>1</v>
      </c>
      <c r="N10" s="155" t="b">
        <v>0</v>
      </c>
      <c r="O10" s="155" t="b">
        <v>0</v>
      </c>
      <c r="P10" s="155" t="b">
        <v>0</v>
      </c>
      <c r="Q10" s="155" t="b">
        <v>0</v>
      </c>
    </row>
    <row r="11" spans="1:17" ht="15.75" customHeight="1" x14ac:dyDescent="0.15">
      <c r="A11" s="6" t="s">
        <v>91</v>
      </c>
      <c r="B11" s="156" t="s">
        <v>96</v>
      </c>
      <c r="C11" s="7" t="s">
        <v>19</v>
      </c>
      <c r="D11" s="7" t="s">
        <v>42</v>
      </c>
      <c r="E11" s="7" t="s">
        <v>58</v>
      </c>
      <c r="F11" s="155" t="b">
        <v>0</v>
      </c>
      <c r="G11" s="155" t="b">
        <v>0</v>
      </c>
      <c r="H11" s="155" t="b">
        <v>0</v>
      </c>
      <c r="I11" s="155" t="b">
        <v>0</v>
      </c>
      <c r="J11" s="155" t="b">
        <v>1</v>
      </c>
      <c r="K11" s="155" t="b">
        <v>1</v>
      </c>
      <c r="L11" s="155" t="b">
        <v>1</v>
      </c>
      <c r="M11" s="155" t="b">
        <v>1</v>
      </c>
      <c r="N11" s="155" t="b">
        <v>0</v>
      </c>
      <c r="O11" s="155" t="b">
        <v>0</v>
      </c>
      <c r="P11" s="155" t="b">
        <v>0</v>
      </c>
      <c r="Q11" s="155" t="b">
        <v>0</v>
      </c>
    </row>
    <row r="12" spans="1:17" ht="15.75" customHeight="1" x14ac:dyDescent="0.15">
      <c r="A12" s="6" t="s">
        <v>91</v>
      </c>
      <c r="B12" s="156" t="s">
        <v>97</v>
      </c>
      <c r="C12" s="7" t="s">
        <v>25</v>
      </c>
      <c r="D12" s="7" t="s">
        <v>20</v>
      </c>
      <c r="E12" s="7" t="s">
        <v>21</v>
      </c>
      <c r="F12" s="155" t="b">
        <v>0</v>
      </c>
      <c r="G12" s="155" t="b">
        <v>0</v>
      </c>
      <c r="H12" s="155" t="b">
        <v>0</v>
      </c>
      <c r="I12" s="155" t="b">
        <v>0</v>
      </c>
      <c r="J12" s="155" t="b">
        <v>1</v>
      </c>
      <c r="K12" s="155" t="b">
        <v>1</v>
      </c>
      <c r="L12" s="155" t="b">
        <v>1</v>
      </c>
      <c r="M12" s="155" t="b">
        <v>1</v>
      </c>
      <c r="N12" s="155" t="b">
        <v>1</v>
      </c>
      <c r="O12" s="155" t="b">
        <v>1</v>
      </c>
      <c r="P12" s="155" t="b">
        <v>1</v>
      </c>
      <c r="Q12" s="155" t="b">
        <v>1</v>
      </c>
    </row>
    <row r="13" spans="1:17" ht="15.75" customHeight="1" x14ac:dyDescent="0.15">
      <c r="A13" s="6" t="s">
        <v>98</v>
      </c>
      <c r="B13" s="156" t="s">
        <v>99</v>
      </c>
      <c r="C13" s="7" t="s">
        <v>19</v>
      </c>
      <c r="D13" s="7" t="s">
        <v>100</v>
      </c>
      <c r="E13" s="7" t="s">
        <v>54</v>
      </c>
      <c r="F13" s="155" t="b">
        <v>0</v>
      </c>
      <c r="G13" s="155" t="b">
        <v>0</v>
      </c>
      <c r="H13" s="155" t="b">
        <v>0</v>
      </c>
      <c r="I13" s="155" t="b">
        <v>0</v>
      </c>
      <c r="J13" s="155" t="b">
        <v>0</v>
      </c>
      <c r="K13" s="155" t="b">
        <v>0</v>
      </c>
      <c r="L13" s="155" t="b">
        <v>0</v>
      </c>
      <c r="M13" s="155" t="b">
        <v>1</v>
      </c>
      <c r="N13" s="155" t="b">
        <v>1</v>
      </c>
      <c r="O13" s="155" t="b">
        <v>1</v>
      </c>
      <c r="P13" s="155" t="b">
        <v>1</v>
      </c>
      <c r="Q13" s="155" t="b">
        <v>1</v>
      </c>
    </row>
    <row r="14" spans="1:17" ht="15.75" customHeight="1" x14ac:dyDescent="0.15">
      <c r="A14" s="6" t="s">
        <v>98</v>
      </c>
      <c r="B14" s="156" t="s">
        <v>101</v>
      </c>
      <c r="C14" s="7" t="s">
        <v>19</v>
      </c>
      <c r="D14" s="7" t="s">
        <v>102</v>
      </c>
      <c r="E14" s="7" t="s">
        <v>65</v>
      </c>
      <c r="F14" s="155" t="b">
        <v>0</v>
      </c>
      <c r="G14" s="155" t="b">
        <v>0</v>
      </c>
      <c r="H14" s="155" t="b">
        <v>0</v>
      </c>
      <c r="I14" s="155" t="b">
        <v>0</v>
      </c>
      <c r="J14" s="155" t="b">
        <v>0</v>
      </c>
      <c r="K14" s="155" t="b">
        <v>0</v>
      </c>
      <c r="L14" s="155" t="b">
        <v>0</v>
      </c>
      <c r="M14" s="155" t="b">
        <v>1</v>
      </c>
      <c r="N14" s="155" t="b">
        <v>1</v>
      </c>
      <c r="O14" s="155" t="b">
        <v>1</v>
      </c>
      <c r="P14" s="155" t="b">
        <v>1</v>
      </c>
      <c r="Q14" s="155" t="b">
        <v>1</v>
      </c>
    </row>
    <row r="15" spans="1:17" ht="15.75" customHeight="1" x14ac:dyDescent="0.15">
      <c r="A15" s="6" t="s">
        <v>98</v>
      </c>
      <c r="B15" s="156" t="s">
        <v>103</v>
      </c>
      <c r="C15" s="7" t="s">
        <v>19</v>
      </c>
      <c r="D15" s="7" t="s">
        <v>102</v>
      </c>
      <c r="E15" s="7" t="s">
        <v>54</v>
      </c>
      <c r="F15" s="155" t="b">
        <v>0</v>
      </c>
      <c r="G15" s="155" t="b">
        <v>0</v>
      </c>
      <c r="H15" s="155" t="b">
        <v>0</v>
      </c>
      <c r="I15" s="155" t="b">
        <v>0</v>
      </c>
      <c r="J15" s="155" t="b">
        <v>0</v>
      </c>
      <c r="K15" s="155" t="b">
        <v>0</v>
      </c>
      <c r="L15" s="155" t="b">
        <v>0</v>
      </c>
      <c r="M15" s="155" t="b">
        <v>1</v>
      </c>
      <c r="N15" s="155" t="b">
        <v>1</v>
      </c>
      <c r="O15" s="155" t="b">
        <v>1</v>
      </c>
      <c r="P15" s="155" t="b">
        <v>1</v>
      </c>
      <c r="Q15" s="155" t="b">
        <v>1</v>
      </c>
    </row>
    <row r="16" spans="1:17" ht="15.75" customHeight="1" x14ac:dyDescent="0.15">
      <c r="A16" s="6" t="s">
        <v>98</v>
      </c>
      <c r="B16" s="156" t="s">
        <v>104</v>
      </c>
      <c r="C16" s="7" t="s">
        <v>19</v>
      </c>
      <c r="D16" s="7" t="s">
        <v>105</v>
      </c>
      <c r="E16" s="7" t="s">
        <v>54</v>
      </c>
      <c r="F16" s="155" t="b">
        <v>0</v>
      </c>
      <c r="G16" s="155" t="b">
        <v>0</v>
      </c>
      <c r="H16" s="155" t="b">
        <v>0</v>
      </c>
      <c r="I16" s="155" t="b">
        <v>0</v>
      </c>
      <c r="J16" s="155" t="b">
        <v>0</v>
      </c>
      <c r="K16" s="155" t="b">
        <v>0</v>
      </c>
      <c r="L16" s="155" t="b">
        <v>0</v>
      </c>
      <c r="M16" s="155" t="b">
        <v>1</v>
      </c>
      <c r="N16" s="155" t="b">
        <v>1</v>
      </c>
      <c r="O16" s="155" t="b">
        <v>1</v>
      </c>
      <c r="P16" s="155" t="b">
        <v>0</v>
      </c>
      <c r="Q16" s="155" t="b">
        <v>1</v>
      </c>
    </row>
    <row r="17" spans="1:17" ht="15.75" customHeight="1" x14ac:dyDescent="0.15">
      <c r="A17" s="6" t="s">
        <v>98</v>
      </c>
      <c r="B17" s="156" t="s">
        <v>106</v>
      </c>
      <c r="C17" s="7" t="s">
        <v>19</v>
      </c>
      <c r="D17" s="7" t="s">
        <v>105</v>
      </c>
      <c r="E17" s="7" t="s">
        <v>54</v>
      </c>
      <c r="F17" s="155" t="b">
        <v>0</v>
      </c>
      <c r="G17" s="155" t="b">
        <v>0</v>
      </c>
      <c r="H17" s="155" t="b">
        <v>0</v>
      </c>
      <c r="I17" s="155" t="b">
        <v>0</v>
      </c>
      <c r="J17" s="155" t="b">
        <v>0</v>
      </c>
      <c r="K17" s="155" t="b">
        <v>0</v>
      </c>
      <c r="L17" s="155" t="b">
        <v>0</v>
      </c>
      <c r="M17" s="155" t="b">
        <v>1</v>
      </c>
      <c r="N17" s="155" t="b">
        <v>1</v>
      </c>
      <c r="O17" s="155" t="b">
        <v>1</v>
      </c>
      <c r="P17" s="155" t="b">
        <v>1</v>
      </c>
      <c r="Q17" s="155" t="b">
        <v>1</v>
      </c>
    </row>
    <row r="18" spans="1:17" ht="15.75" customHeight="1" x14ac:dyDescent="0.15">
      <c r="A18" s="6" t="s">
        <v>98</v>
      </c>
      <c r="B18" s="156" t="s">
        <v>106</v>
      </c>
      <c r="C18" s="7" t="s">
        <v>19</v>
      </c>
      <c r="D18" s="7" t="s">
        <v>105</v>
      </c>
      <c r="E18" s="7" t="s">
        <v>58</v>
      </c>
      <c r="F18" s="155" t="b">
        <v>0</v>
      </c>
      <c r="G18" s="155" t="b">
        <v>0</v>
      </c>
      <c r="H18" s="155" t="b">
        <v>0</v>
      </c>
      <c r="I18" s="155" t="b">
        <v>0</v>
      </c>
      <c r="J18" s="155" t="b">
        <v>0</v>
      </c>
      <c r="K18" s="155" t="b">
        <v>0</v>
      </c>
      <c r="L18" s="155" t="b">
        <v>0</v>
      </c>
      <c r="M18" s="155" t="b">
        <v>1</v>
      </c>
      <c r="N18" s="155" t="b">
        <v>1</v>
      </c>
      <c r="O18" s="155" t="b">
        <v>1</v>
      </c>
      <c r="P18" s="155" t="b">
        <v>1</v>
      </c>
      <c r="Q18" s="155" t="b">
        <v>1</v>
      </c>
    </row>
    <row r="19" spans="1:17" ht="15.75" customHeight="1" x14ac:dyDescent="0.15">
      <c r="A19" s="6" t="s">
        <v>98</v>
      </c>
      <c r="B19" s="156" t="s">
        <v>18</v>
      </c>
      <c r="C19" s="7" t="s">
        <v>19</v>
      </c>
      <c r="D19" s="7" t="s">
        <v>105</v>
      </c>
      <c r="E19" s="7" t="s">
        <v>21</v>
      </c>
      <c r="F19" s="155" t="b">
        <v>0</v>
      </c>
      <c r="G19" s="155" t="b">
        <v>0</v>
      </c>
      <c r="H19" s="155" t="b">
        <v>0</v>
      </c>
      <c r="I19" s="155" t="b">
        <v>0</v>
      </c>
      <c r="J19" s="155" t="b">
        <v>0</v>
      </c>
      <c r="K19" s="155" t="b">
        <v>0</v>
      </c>
      <c r="L19" s="155" t="b">
        <v>0</v>
      </c>
      <c r="M19" s="155" t="b">
        <v>1</v>
      </c>
      <c r="N19" s="155" t="b">
        <v>1</v>
      </c>
      <c r="O19" s="155" t="b">
        <v>1</v>
      </c>
      <c r="P19" s="155" t="b">
        <v>1</v>
      </c>
      <c r="Q19" s="155" t="b">
        <v>1</v>
      </c>
    </row>
    <row r="20" spans="1:17" ht="15.75" customHeight="1" x14ac:dyDescent="0.15">
      <c r="A20" s="6" t="s">
        <v>98</v>
      </c>
      <c r="B20" s="156" t="s">
        <v>107</v>
      </c>
      <c r="C20" s="7" t="s">
        <v>19</v>
      </c>
      <c r="D20" s="7" t="s">
        <v>105</v>
      </c>
      <c r="E20" s="7" t="s">
        <v>21</v>
      </c>
      <c r="F20" s="155" t="b">
        <v>0</v>
      </c>
      <c r="G20" s="155" t="b">
        <v>0</v>
      </c>
      <c r="H20" s="155" t="b">
        <v>0</v>
      </c>
      <c r="I20" s="155" t="b">
        <v>0</v>
      </c>
      <c r="J20" s="155" t="b">
        <v>0</v>
      </c>
      <c r="K20" s="155" t="b">
        <v>0</v>
      </c>
      <c r="L20" s="155" t="b">
        <v>0</v>
      </c>
      <c r="M20" s="155" t="b">
        <v>1</v>
      </c>
      <c r="N20" s="155" t="b">
        <v>1</v>
      </c>
      <c r="O20" s="155" t="b">
        <v>1</v>
      </c>
      <c r="P20" s="155" t="b">
        <v>1</v>
      </c>
      <c r="Q20" s="155" t="b">
        <v>1</v>
      </c>
    </row>
    <row r="21" spans="1:17" ht="15.75" customHeight="1" x14ac:dyDescent="0.15">
      <c r="A21" s="6" t="s">
        <v>108</v>
      </c>
      <c r="B21" s="156" t="s">
        <v>109</v>
      </c>
      <c r="C21" s="7" t="s">
        <v>19</v>
      </c>
      <c r="D21" s="7" t="s">
        <v>42</v>
      </c>
      <c r="E21" s="7" t="s">
        <v>48</v>
      </c>
      <c r="F21" s="155" t="b">
        <v>0</v>
      </c>
      <c r="G21" s="155" t="b">
        <v>0</v>
      </c>
      <c r="H21" s="155" t="b">
        <v>0</v>
      </c>
      <c r="I21" s="155" t="b">
        <v>0</v>
      </c>
      <c r="J21" s="155" t="b">
        <v>1</v>
      </c>
      <c r="K21" s="155" t="b">
        <v>1</v>
      </c>
      <c r="L21" s="155" t="b">
        <v>1</v>
      </c>
      <c r="M21" s="155" t="b">
        <v>1</v>
      </c>
      <c r="N21" s="155" t="b">
        <v>0</v>
      </c>
      <c r="O21" s="155" t="b">
        <v>0</v>
      </c>
      <c r="P21" s="155" t="b">
        <v>0</v>
      </c>
      <c r="Q21" s="155" t="b">
        <v>0</v>
      </c>
    </row>
    <row r="22" spans="1:17" ht="15.75" customHeight="1" x14ac:dyDescent="0.15">
      <c r="A22" s="6" t="s">
        <v>108</v>
      </c>
      <c r="B22" s="156" t="s">
        <v>95</v>
      </c>
      <c r="C22" s="7" t="s">
        <v>19</v>
      </c>
      <c r="D22" s="7" t="s">
        <v>42</v>
      </c>
      <c r="E22" s="7" t="s">
        <v>54</v>
      </c>
      <c r="F22" s="155" t="b">
        <v>0</v>
      </c>
      <c r="G22" s="155" t="b">
        <v>0</v>
      </c>
      <c r="H22" s="155" t="b">
        <v>0</v>
      </c>
      <c r="I22" s="155" t="b">
        <v>0</v>
      </c>
      <c r="J22" s="155" t="b">
        <v>1</v>
      </c>
      <c r="K22" s="155" t="b">
        <v>1</v>
      </c>
      <c r="L22" s="155" t="b">
        <v>1</v>
      </c>
      <c r="M22" s="155" t="b">
        <v>1</v>
      </c>
      <c r="N22" s="155" t="b">
        <v>0</v>
      </c>
      <c r="O22" s="155" t="b">
        <v>0</v>
      </c>
      <c r="P22" s="155" t="b">
        <v>0</v>
      </c>
      <c r="Q22" s="155" t="b">
        <v>0</v>
      </c>
    </row>
    <row r="23" spans="1:17" ht="15.75" customHeight="1" x14ac:dyDescent="0.15">
      <c r="A23" s="6" t="s">
        <v>108</v>
      </c>
      <c r="B23" s="156" t="s">
        <v>110</v>
      </c>
      <c r="C23" s="7" t="s">
        <v>19</v>
      </c>
      <c r="D23" s="7" t="s">
        <v>42</v>
      </c>
      <c r="E23" s="7" t="s">
        <v>54</v>
      </c>
      <c r="F23" s="155" t="b">
        <v>0</v>
      </c>
      <c r="G23" s="155" t="b">
        <v>0</v>
      </c>
      <c r="H23" s="155" t="b">
        <v>0</v>
      </c>
      <c r="I23" s="155" t="b">
        <v>0</v>
      </c>
      <c r="J23" s="155" t="b">
        <v>1</v>
      </c>
      <c r="K23" s="155" t="b">
        <v>1</v>
      </c>
      <c r="L23" s="155" t="b">
        <v>1</v>
      </c>
      <c r="M23" s="155" t="b">
        <v>1</v>
      </c>
      <c r="N23" s="155" t="b">
        <v>0</v>
      </c>
      <c r="O23" s="155" t="b">
        <v>0</v>
      </c>
      <c r="P23" s="155" t="b">
        <v>0</v>
      </c>
      <c r="Q23" s="155" t="b">
        <v>0</v>
      </c>
    </row>
    <row r="24" spans="1:17" ht="15.75" customHeight="1" x14ac:dyDescent="0.15">
      <c r="A24" s="6" t="s">
        <v>108</v>
      </c>
      <c r="B24" s="156" t="s">
        <v>110</v>
      </c>
      <c r="C24" s="7" t="s">
        <v>19</v>
      </c>
      <c r="D24" s="7" t="s">
        <v>42</v>
      </c>
      <c r="E24" s="7" t="s">
        <v>58</v>
      </c>
      <c r="F24" s="155" t="b">
        <v>0</v>
      </c>
      <c r="G24" s="155" t="b">
        <v>0</v>
      </c>
      <c r="H24" s="155" t="b">
        <v>0</v>
      </c>
      <c r="I24" s="155" t="b">
        <v>0</v>
      </c>
      <c r="J24" s="155" t="b">
        <v>1</v>
      </c>
      <c r="K24" s="155" t="b">
        <v>1</v>
      </c>
      <c r="L24" s="155" t="b">
        <v>1</v>
      </c>
      <c r="M24" s="155" t="b">
        <v>1</v>
      </c>
      <c r="N24" s="155" t="b">
        <v>0</v>
      </c>
      <c r="O24" s="155" t="b">
        <v>0</v>
      </c>
      <c r="P24" s="155" t="b">
        <v>0</v>
      </c>
      <c r="Q24" s="155" t="b">
        <v>0</v>
      </c>
    </row>
    <row r="25" spans="1:17" ht="15.75" customHeight="1" x14ac:dyDescent="0.15">
      <c r="A25" s="6" t="s">
        <v>108</v>
      </c>
      <c r="B25" s="156" t="s">
        <v>110</v>
      </c>
      <c r="C25" s="7" t="s">
        <v>19</v>
      </c>
      <c r="D25" s="7" t="s">
        <v>42</v>
      </c>
      <c r="E25" s="7" t="s">
        <v>65</v>
      </c>
      <c r="F25" s="155" t="b">
        <v>0</v>
      </c>
      <c r="G25" s="155" t="b">
        <v>0</v>
      </c>
      <c r="H25" s="155" t="b">
        <v>0</v>
      </c>
      <c r="I25" s="155" t="b">
        <v>0</v>
      </c>
      <c r="J25" s="155" t="b">
        <v>1</v>
      </c>
      <c r="K25" s="155" t="b">
        <v>1</v>
      </c>
      <c r="L25" s="155" t="b">
        <v>1</v>
      </c>
      <c r="M25" s="155" t="b">
        <v>1</v>
      </c>
      <c r="N25" s="155" t="b">
        <v>0</v>
      </c>
      <c r="O25" s="155" t="b">
        <v>0</v>
      </c>
      <c r="P25" s="155" t="b">
        <v>0</v>
      </c>
      <c r="Q25" s="155" t="b">
        <v>0</v>
      </c>
    </row>
    <row r="26" spans="1:17" ht="15.75" customHeight="1" x14ac:dyDescent="0.15">
      <c r="A26" s="6" t="s">
        <v>108</v>
      </c>
      <c r="B26" s="156" t="s">
        <v>111</v>
      </c>
      <c r="C26" s="7" t="s">
        <v>19</v>
      </c>
      <c r="D26" s="7" t="s">
        <v>42</v>
      </c>
      <c r="E26" s="7" t="s">
        <v>58</v>
      </c>
      <c r="F26" s="155" t="b">
        <v>0</v>
      </c>
      <c r="G26" s="155" t="b">
        <v>0</v>
      </c>
      <c r="H26" s="155" t="b">
        <v>0</v>
      </c>
      <c r="I26" s="155" t="b">
        <v>0</v>
      </c>
      <c r="J26" s="155" t="b">
        <v>1</v>
      </c>
      <c r="K26" s="155" t="b">
        <v>1</v>
      </c>
      <c r="L26" s="155" t="b">
        <v>1</v>
      </c>
      <c r="M26" s="155" t="b">
        <v>1</v>
      </c>
      <c r="N26" s="155" t="b">
        <v>0</v>
      </c>
      <c r="O26" s="155" t="b">
        <v>0</v>
      </c>
      <c r="P26" s="155" t="b">
        <v>0</v>
      </c>
      <c r="Q26" s="155" t="b">
        <v>0</v>
      </c>
    </row>
    <row r="27" spans="1:17" ht="15.75" customHeight="1" x14ac:dyDescent="0.15">
      <c r="A27" s="6" t="s">
        <v>108</v>
      </c>
      <c r="B27" s="156" t="s">
        <v>112</v>
      </c>
      <c r="C27" s="7" t="s">
        <v>19</v>
      </c>
      <c r="D27" s="7" t="s">
        <v>20</v>
      </c>
      <c r="E27" s="7" t="s">
        <v>21</v>
      </c>
      <c r="F27" s="155" t="b">
        <v>0</v>
      </c>
      <c r="G27" s="155" t="b">
        <v>0</v>
      </c>
      <c r="H27" s="155" t="b">
        <v>0</v>
      </c>
      <c r="I27" s="155" t="b">
        <v>0</v>
      </c>
      <c r="J27" s="155" t="b">
        <v>1</v>
      </c>
      <c r="K27" s="155" t="b">
        <v>1</v>
      </c>
      <c r="L27" s="155" t="b">
        <v>1</v>
      </c>
      <c r="M27" s="155" t="b">
        <v>1</v>
      </c>
      <c r="N27" s="155" t="b">
        <v>0</v>
      </c>
      <c r="O27" s="155" t="b">
        <v>0</v>
      </c>
      <c r="P27" s="155" t="b">
        <v>0</v>
      </c>
      <c r="Q27" s="155" t="b">
        <v>0</v>
      </c>
    </row>
    <row r="28" spans="1:17" ht="15.75" customHeight="1" x14ac:dyDescent="0.15">
      <c r="A28" s="6" t="s">
        <v>108</v>
      </c>
      <c r="B28" s="156" t="s">
        <v>112</v>
      </c>
      <c r="C28" s="7" t="s">
        <v>19</v>
      </c>
      <c r="D28" s="7" t="s">
        <v>20</v>
      </c>
      <c r="E28" s="7" t="s">
        <v>54</v>
      </c>
      <c r="F28" s="155" t="b">
        <v>0</v>
      </c>
      <c r="G28" s="155" t="b">
        <v>0</v>
      </c>
      <c r="H28" s="155" t="b">
        <v>0</v>
      </c>
      <c r="I28" s="155" t="b">
        <v>0</v>
      </c>
      <c r="J28" s="155" t="b">
        <v>1</v>
      </c>
      <c r="K28" s="155" t="b">
        <v>1</v>
      </c>
      <c r="L28" s="155" t="b">
        <v>1</v>
      </c>
      <c r="M28" s="155" t="b">
        <v>1</v>
      </c>
      <c r="N28" s="155" t="b">
        <v>0</v>
      </c>
      <c r="O28" s="155" t="b">
        <v>0</v>
      </c>
      <c r="P28" s="155" t="b">
        <v>0</v>
      </c>
      <c r="Q28" s="155" t="b">
        <v>0</v>
      </c>
    </row>
    <row r="29" spans="1:17" ht="15.75" customHeight="1" x14ac:dyDescent="0.15">
      <c r="A29" s="6" t="s">
        <v>108</v>
      </c>
      <c r="B29" s="156" t="s">
        <v>113</v>
      </c>
      <c r="C29" s="7" t="s">
        <v>25</v>
      </c>
      <c r="D29" s="7" t="s">
        <v>20</v>
      </c>
      <c r="E29" s="7" t="s">
        <v>50</v>
      </c>
      <c r="F29" s="155" t="b">
        <v>0</v>
      </c>
      <c r="G29" s="155" t="b">
        <v>0</v>
      </c>
      <c r="H29" s="155" t="b">
        <v>0</v>
      </c>
      <c r="I29" s="155" t="b">
        <v>0</v>
      </c>
      <c r="J29" s="155" t="b">
        <v>1</v>
      </c>
      <c r="K29" s="155" t="b">
        <v>1</v>
      </c>
      <c r="L29" s="155" t="b">
        <v>1</v>
      </c>
      <c r="M29" s="155" t="b">
        <v>1</v>
      </c>
      <c r="N29" s="155" t="b">
        <v>0</v>
      </c>
      <c r="O29" s="155" t="b">
        <v>0</v>
      </c>
      <c r="P29" s="155" t="b">
        <v>0</v>
      </c>
      <c r="Q29" s="155" t="b">
        <v>0</v>
      </c>
    </row>
    <row r="30" spans="1:17" ht="15.75" customHeight="1" x14ac:dyDescent="0.15">
      <c r="A30" s="6" t="s">
        <v>114</v>
      </c>
      <c r="B30" s="156" t="s">
        <v>115</v>
      </c>
      <c r="C30" s="7" t="s">
        <v>25</v>
      </c>
      <c r="D30" s="7" t="s">
        <v>20</v>
      </c>
      <c r="E30" s="7" t="s">
        <v>65</v>
      </c>
      <c r="F30" s="155" t="b">
        <v>0</v>
      </c>
      <c r="G30" s="155" t="b">
        <v>0</v>
      </c>
      <c r="H30" s="155" t="b">
        <v>0</v>
      </c>
      <c r="I30" s="155" t="b">
        <v>0</v>
      </c>
      <c r="J30" s="155" t="b">
        <v>1</v>
      </c>
      <c r="K30" s="155" t="b">
        <v>1</v>
      </c>
      <c r="L30" s="155" t="b">
        <v>1</v>
      </c>
      <c r="M30" s="155" t="b">
        <v>1</v>
      </c>
      <c r="N30" s="155" t="b">
        <v>1</v>
      </c>
      <c r="O30" s="155" t="b">
        <v>1</v>
      </c>
      <c r="P30" s="155" t="b">
        <v>1</v>
      </c>
      <c r="Q30" s="155" t="b">
        <v>1</v>
      </c>
    </row>
    <row r="31" spans="1:17" ht="15.75" customHeight="1" x14ac:dyDescent="0.15">
      <c r="A31" s="6" t="s">
        <v>22</v>
      </c>
      <c r="B31" s="156" t="s">
        <v>116</v>
      </c>
      <c r="C31" s="7" t="s">
        <v>22</v>
      </c>
      <c r="D31" s="7"/>
      <c r="E31" s="7" t="s">
        <v>21</v>
      </c>
      <c r="F31" s="155" t="b">
        <v>0</v>
      </c>
      <c r="G31" s="155" t="b">
        <v>0</v>
      </c>
      <c r="H31" s="155" t="b">
        <v>0</v>
      </c>
      <c r="I31" s="155" t="b">
        <v>0</v>
      </c>
      <c r="J31" s="155" t="b">
        <v>1</v>
      </c>
      <c r="K31" s="155" t="b">
        <v>1</v>
      </c>
      <c r="L31" s="155" t="b">
        <v>1</v>
      </c>
      <c r="M31" s="155" t="b">
        <v>1</v>
      </c>
      <c r="N31" s="155" t="b">
        <v>0</v>
      </c>
      <c r="O31" s="155" t="b">
        <v>0</v>
      </c>
      <c r="P31" s="155" t="b">
        <v>0</v>
      </c>
      <c r="Q31" s="155" t="b">
        <v>0</v>
      </c>
    </row>
    <row r="32" spans="1:17" ht="15.75" customHeight="1" x14ac:dyDescent="0.15">
      <c r="A32" s="6" t="s">
        <v>22</v>
      </c>
      <c r="B32" s="156" t="s">
        <v>117</v>
      </c>
      <c r="C32" s="7" t="s">
        <v>22</v>
      </c>
      <c r="D32" s="7"/>
      <c r="E32" s="7" t="s">
        <v>54</v>
      </c>
      <c r="F32" s="155" t="b">
        <v>0</v>
      </c>
      <c r="G32" s="155" t="b">
        <v>0</v>
      </c>
      <c r="H32" s="155" t="b">
        <v>0</v>
      </c>
      <c r="I32" s="155" t="b">
        <v>0</v>
      </c>
      <c r="J32" s="155" t="b">
        <v>1</v>
      </c>
      <c r="K32" s="155" t="b">
        <v>1</v>
      </c>
      <c r="L32" s="155" t="b">
        <v>1</v>
      </c>
      <c r="M32" s="155" t="b">
        <v>1</v>
      </c>
      <c r="N32" s="155" t="b">
        <v>0</v>
      </c>
      <c r="O32" s="155" t="b">
        <v>0</v>
      </c>
      <c r="P32" s="155" t="b">
        <v>0</v>
      </c>
      <c r="Q32" s="155" t="b">
        <v>0</v>
      </c>
    </row>
    <row r="33" spans="1:17" ht="15.75" customHeight="1" x14ac:dyDescent="0.15">
      <c r="A33" s="6" t="s">
        <v>22</v>
      </c>
      <c r="B33" s="156" t="s">
        <v>118</v>
      </c>
      <c r="C33" s="7" t="s">
        <v>22</v>
      </c>
      <c r="D33" s="7"/>
      <c r="E33" s="7" t="s">
        <v>58</v>
      </c>
      <c r="F33" s="155" t="b">
        <v>0</v>
      </c>
      <c r="G33" s="155" t="b">
        <v>0</v>
      </c>
      <c r="H33" s="155" t="b">
        <v>0</v>
      </c>
      <c r="I33" s="155" t="b">
        <v>0</v>
      </c>
      <c r="J33" s="155" t="b">
        <v>1</v>
      </c>
      <c r="K33" s="155" t="b">
        <v>1</v>
      </c>
      <c r="L33" s="155" t="b">
        <v>1</v>
      </c>
      <c r="M33" s="155" t="b">
        <v>1</v>
      </c>
      <c r="N33" s="155" t="b">
        <v>0</v>
      </c>
      <c r="O33" s="155" t="b">
        <v>0</v>
      </c>
      <c r="P33" s="155" t="b">
        <v>0</v>
      </c>
      <c r="Q33" s="155" t="b">
        <v>0</v>
      </c>
    </row>
    <row r="34" spans="1:17" ht="15.75" customHeight="1" x14ac:dyDescent="0.15">
      <c r="A34" s="11" t="s">
        <v>27</v>
      </c>
      <c r="B34" s="11" t="s">
        <v>27</v>
      </c>
      <c r="C34" s="12"/>
      <c r="D34" s="12"/>
      <c r="E34" s="12"/>
      <c r="Q34" s="10"/>
    </row>
  </sheetData>
  <mergeCells count="9">
    <mergeCell ref="J6:M6"/>
    <mergeCell ref="N6:Q6"/>
    <mergeCell ref="F6:I6"/>
    <mergeCell ref="F3:I3"/>
    <mergeCell ref="F4:I4"/>
    <mergeCell ref="J3:M3"/>
    <mergeCell ref="J4:M4"/>
    <mergeCell ref="N3:Q3"/>
    <mergeCell ref="N4:Q4"/>
  </mergeCells>
  <phoneticPr fontId="26"/>
  <conditionalFormatting sqref="J8:Q12">
    <cfRule type="containsText" dxfId="4" priority="2" operator="containsText" text="true">
      <formula>NOT(ISERROR(SEARCH(("true"),(J8))))</formula>
    </cfRule>
  </conditionalFormatting>
  <conditionalFormatting sqref="J21:Q29">
    <cfRule type="containsText" dxfId="3" priority="3" operator="containsText" text="true">
      <formula>NOT(ISERROR(SEARCH(("true"),(J21))))</formula>
    </cfRule>
  </conditionalFormatting>
  <conditionalFormatting sqref="J30:Q30">
    <cfRule type="containsText" dxfId="2" priority="4" operator="containsText" text="true">
      <formula>NOT(ISERROR(SEARCH(("true"),(J30))))</formula>
    </cfRule>
  </conditionalFormatting>
  <conditionalFormatting sqref="J31:Q33">
    <cfRule type="containsText" dxfId="1" priority="5" operator="containsText" text="true">
      <formula>NOT(ISERROR(SEARCH(("true"),(J31))))</formula>
    </cfRule>
  </conditionalFormatting>
  <conditionalFormatting sqref="M13:Q20">
    <cfRule type="notContainsBlanks" dxfId="0" priority="1">
      <formula>LEN(TRIM(M13))&gt;0</formula>
    </cfRule>
  </conditionalFormatting>
  <dataValidations count="4">
    <dataValidation type="list" allowBlank="1" showErrorMessage="1" sqref="A7:A33" xr:uid="{00000000-0002-0000-0200-000000000000}">
      <formula1>"日本美容施策,韓国施策,共感施策,イベント,マストバイ施策,広告配信"</formula1>
    </dataValidation>
    <dataValidation type="list" allowBlank="1" showErrorMessage="1" sqref="C7:C33" xr:uid="{00000000-0002-0000-0200-000001000000}">
      <formula1>"配信無,配信有,広告配信"</formula1>
    </dataValidation>
    <dataValidation type="list" allowBlank="1" showErrorMessage="1" sqref="E7:E33" xr:uid="{00000000-0002-0000-0200-000002000000}">
      <formula1>"X,IG Feed,IG Reel,TikTok,YouTube,オフライン"</formula1>
    </dataValidation>
    <dataValidation type="list" allowBlank="1" showErrorMessage="1" sqref="D7:D33" xr:uid="{00000000-0002-0000-0200-000003000000}">
      <formula1>"ヘアケア賢者,美容開拓層,美容フォロワー層,美容マス層,韓コス開拓層,韓コスフォロワー層,韓国人"</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Q84"/>
  <sheetViews>
    <sheetView showGridLines="0" workbookViewId="0"/>
  </sheetViews>
  <sheetFormatPr baseColWidth="10" defaultColWidth="12.6640625" defaultRowHeight="15.75" customHeight="1" x14ac:dyDescent="0.15"/>
  <cols>
    <col min="1" max="1" width="3.5" customWidth="1"/>
    <col min="2" max="2" width="14.1640625" customWidth="1"/>
    <col min="3" max="3" width="19.1640625" customWidth="1"/>
    <col min="5" max="5" width="22.5" customWidth="1"/>
    <col min="10" max="10" width="14.33203125" customWidth="1"/>
    <col min="12" max="12" width="14.33203125" customWidth="1"/>
  </cols>
  <sheetData>
    <row r="2" spans="2:17" ht="15.75" customHeight="1" x14ac:dyDescent="0.25">
      <c r="B2" s="157" t="s">
        <v>119</v>
      </c>
    </row>
    <row r="4" spans="2:17" ht="15.75" customHeight="1" x14ac:dyDescent="0.15">
      <c r="B4" s="158" t="s">
        <v>88</v>
      </c>
      <c r="C4" s="159" t="s">
        <v>2</v>
      </c>
      <c r="D4" s="5" t="s">
        <v>3</v>
      </c>
      <c r="E4" s="5" t="s">
        <v>4</v>
      </c>
      <c r="F4" s="5" t="s">
        <v>5</v>
      </c>
      <c r="G4" s="5" t="s">
        <v>6</v>
      </c>
      <c r="H4" s="5" t="s">
        <v>7</v>
      </c>
      <c r="I4" s="5" t="s">
        <v>8</v>
      </c>
      <c r="J4" s="5" t="s">
        <v>9</v>
      </c>
      <c r="K4" s="5" t="s">
        <v>10</v>
      </c>
      <c r="L4" s="5" t="s">
        <v>11</v>
      </c>
      <c r="M4" s="5" t="s">
        <v>12</v>
      </c>
      <c r="N4" s="5" t="s">
        <v>13</v>
      </c>
      <c r="O4" s="5" t="s">
        <v>14</v>
      </c>
      <c r="P4" s="5" t="s">
        <v>15</v>
      </c>
      <c r="Q4" s="5" t="s">
        <v>16</v>
      </c>
    </row>
    <row r="5" spans="2:17" ht="15.75" customHeight="1" x14ac:dyDescent="0.15">
      <c r="B5" s="160" t="s">
        <v>120</v>
      </c>
      <c r="C5" s="156" t="s">
        <v>121</v>
      </c>
      <c r="D5" s="7" t="s">
        <v>19</v>
      </c>
      <c r="E5" s="7" t="s">
        <v>122</v>
      </c>
      <c r="F5" s="7" t="s">
        <v>48</v>
      </c>
      <c r="G5" s="161">
        <v>1.2E-2</v>
      </c>
      <c r="H5" s="8">
        <f t="shared" ref="H5:H15" si="0">$H$16*G5</f>
        <v>210000</v>
      </c>
      <c r="I5" s="162">
        <v>3</v>
      </c>
      <c r="J5" s="9">
        <f>H5/I5</f>
        <v>70000</v>
      </c>
      <c r="K5" s="163">
        <f>J5/L5</f>
        <v>0.56451612903225812</v>
      </c>
      <c r="L5" s="9">
        <v>124000</v>
      </c>
      <c r="M5" s="164">
        <v>0.2</v>
      </c>
      <c r="N5" s="9">
        <f t="shared" ref="N5:N10" si="1">J5*M5</f>
        <v>14000</v>
      </c>
      <c r="O5" s="8">
        <f t="shared" ref="O5:O10" si="2">H5*1000/N5</f>
        <v>15000</v>
      </c>
      <c r="P5" s="165">
        <v>1.1000000000000001</v>
      </c>
      <c r="Q5" s="9">
        <f t="shared" ref="Q5:Q15" si="3">N5/P5</f>
        <v>12727.272727272726</v>
      </c>
    </row>
    <row r="6" spans="2:17" ht="15.75" customHeight="1" x14ac:dyDescent="0.15">
      <c r="B6" s="160" t="s">
        <v>120</v>
      </c>
      <c r="C6" s="156" t="s">
        <v>123</v>
      </c>
      <c r="D6" s="7" t="s">
        <v>19</v>
      </c>
      <c r="E6" s="7" t="s">
        <v>122</v>
      </c>
      <c r="F6" s="7" t="s">
        <v>65</v>
      </c>
      <c r="G6" s="161">
        <v>0.3</v>
      </c>
      <c r="H6" s="8">
        <f t="shared" si="0"/>
        <v>5250000</v>
      </c>
      <c r="I6" s="162">
        <v>3</v>
      </c>
      <c r="J6" s="9">
        <f>H6/I6</f>
        <v>1750000</v>
      </c>
      <c r="K6" s="163">
        <v>1</v>
      </c>
      <c r="L6" s="9">
        <v>540000</v>
      </c>
      <c r="M6" s="164">
        <v>0.2</v>
      </c>
      <c r="N6" s="9">
        <f t="shared" si="1"/>
        <v>350000</v>
      </c>
      <c r="O6" s="8">
        <f t="shared" si="2"/>
        <v>15000</v>
      </c>
      <c r="P6" s="165">
        <v>1.1000000000000001</v>
      </c>
      <c r="Q6" s="9">
        <f t="shared" si="3"/>
        <v>318181.81818181818</v>
      </c>
    </row>
    <row r="7" spans="2:17" ht="15.75" customHeight="1" x14ac:dyDescent="0.15">
      <c r="B7" s="160" t="s">
        <v>120</v>
      </c>
      <c r="C7" s="156" t="s">
        <v>124</v>
      </c>
      <c r="D7" s="7" t="s">
        <v>19</v>
      </c>
      <c r="E7" s="7" t="s">
        <v>122</v>
      </c>
      <c r="F7" s="7" t="s">
        <v>58</v>
      </c>
      <c r="G7" s="161">
        <v>0.3</v>
      </c>
      <c r="H7" s="8">
        <f t="shared" si="0"/>
        <v>5250000</v>
      </c>
      <c r="I7" s="162">
        <v>3</v>
      </c>
      <c r="J7" s="9">
        <f>H7/I7</f>
        <v>1750000</v>
      </c>
      <c r="K7" s="163">
        <v>1</v>
      </c>
      <c r="L7" s="9">
        <v>850000</v>
      </c>
      <c r="M7" s="164">
        <v>0.2</v>
      </c>
      <c r="N7" s="9">
        <f t="shared" si="1"/>
        <v>350000</v>
      </c>
      <c r="O7" s="8">
        <f t="shared" si="2"/>
        <v>15000</v>
      </c>
      <c r="P7" s="165">
        <v>1.1000000000000001</v>
      </c>
      <c r="Q7" s="9">
        <f t="shared" si="3"/>
        <v>318181.81818181818</v>
      </c>
    </row>
    <row r="8" spans="2:17" ht="15.75" customHeight="1" x14ac:dyDescent="0.15">
      <c r="B8" s="160" t="s">
        <v>120</v>
      </c>
      <c r="C8" s="156" t="s">
        <v>17</v>
      </c>
      <c r="D8" s="7" t="s">
        <v>19</v>
      </c>
      <c r="E8" s="7" t="s">
        <v>125</v>
      </c>
      <c r="F8" s="7" t="s">
        <v>21</v>
      </c>
      <c r="G8" s="166">
        <v>0.1</v>
      </c>
      <c r="H8" s="8">
        <f t="shared" si="0"/>
        <v>1750000</v>
      </c>
      <c r="I8" s="162">
        <v>3</v>
      </c>
      <c r="J8" s="9">
        <f>H8/I8</f>
        <v>583333.33333333337</v>
      </c>
      <c r="K8" s="163">
        <f>J8/L8</f>
        <v>5.8333333333333339</v>
      </c>
      <c r="L8" s="9">
        <v>100000</v>
      </c>
      <c r="M8" s="164">
        <v>0.2</v>
      </c>
      <c r="N8" s="9">
        <f t="shared" si="1"/>
        <v>116666.66666666669</v>
      </c>
      <c r="O8" s="8">
        <f t="shared" si="2"/>
        <v>14999.999999999998</v>
      </c>
      <c r="P8" s="165">
        <v>1.1000000000000001</v>
      </c>
      <c r="Q8" s="9">
        <f t="shared" si="3"/>
        <v>106060.60606060606</v>
      </c>
    </row>
    <row r="9" spans="2:17" ht="15.75" customHeight="1" x14ac:dyDescent="0.15">
      <c r="B9" s="160" t="s">
        <v>120</v>
      </c>
      <c r="C9" s="156" t="s">
        <v>17</v>
      </c>
      <c r="D9" s="7" t="s">
        <v>19</v>
      </c>
      <c r="E9" s="7" t="s">
        <v>125</v>
      </c>
      <c r="F9" s="7" t="s">
        <v>58</v>
      </c>
      <c r="G9" s="166">
        <v>0.1</v>
      </c>
      <c r="H9" s="8">
        <f t="shared" si="0"/>
        <v>1750000</v>
      </c>
      <c r="I9" s="162">
        <v>5</v>
      </c>
      <c r="J9" s="9">
        <f>H9/I9</f>
        <v>350000</v>
      </c>
      <c r="K9" s="163">
        <f>J9/L9</f>
        <v>3.5</v>
      </c>
      <c r="L9" s="9">
        <v>100000</v>
      </c>
      <c r="M9" s="164">
        <v>0.3</v>
      </c>
      <c r="N9" s="9">
        <f t="shared" si="1"/>
        <v>105000</v>
      </c>
      <c r="O9" s="8">
        <f t="shared" si="2"/>
        <v>16666.666666666668</v>
      </c>
      <c r="P9" s="165">
        <v>1.1000000000000001</v>
      </c>
      <c r="Q9" s="9">
        <f t="shared" si="3"/>
        <v>95454.545454545441</v>
      </c>
    </row>
    <row r="10" spans="2:17" ht="15.75" customHeight="1" x14ac:dyDescent="0.15">
      <c r="B10" s="167" t="s">
        <v>120</v>
      </c>
      <c r="C10" s="168" t="s">
        <v>126</v>
      </c>
      <c r="D10" s="169" t="s">
        <v>25</v>
      </c>
      <c r="E10" s="169" t="s">
        <v>125</v>
      </c>
      <c r="F10" s="170" t="s">
        <v>127</v>
      </c>
      <c r="G10" s="171">
        <v>0.09</v>
      </c>
      <c r="H10" s="172">
        <f t="shared" si="0"/>
        <v>1575000</v>
      </c>
      <c r="I10" s="173">
        <f>J10/H10</f>
        <v>1.5</v>
      </c>
      <c r="J10" s="174">
        <f>K10*L10</f>
        <v>2362500</v>
      </c>
      <c r="K10" s="175">
        <f>H10/20000</f>
        <v>78.75</v>
      </c>
      <c r="L10" s="174">
        <v>30000</v>
      </c>
      <c r="M10" s="176">
        <v>0.25</v>
      </c>
      <c r="N10" s="174">
        <f t="shared" si="1"/>
        <v>590625</v>
      </c>
      <c r="O10" s="172">
        <f t="shared" si="2"/>
        <v>2666.6666666666665</v>
      </c>
      <c r="P10" s="177">
        <v>1.1000000000000001</v>
      </c>
      <c r="Q10" s="174">
        <f t="shared" si="3"/>
        <v>536931.81818181812</v>
      </c>
    </row>
    <row r="11" spans="2:17" ht="15.75" customHeight="1" x14ac:dyDescent="0.15">
      <c r="B11" s="160" t="s">
        <v>120</v>
      </c>
      <c r="C11" s="156" t="s">
        <v>128</v>
      </c>
      <c r="D11" s="7" t="s">
        <v>22</v>
      </c>
      <c r="E11" s="7" t="s">
        <v>122</v>
      </c>
      <c r="F11" s="7" t="s">
        <v>65</v>
      </c>
      <c r="G11" s="178">
        <v>0.02</v>
      </c>
      <c r="H11" s="8">
        <f t="shared" si="0"/>
        <v>350000</v>
      </c>
      <c r="I11" s="179"/>
      <c r="J11" s="179"/>
      <c r="K11" s="179"/>
      <c r="L11" s="179"/>
      <c r="M11" s="179"/>
      <c r="N11" s="9">
        <f>H11/O11*1000</f>
        <v>1400000</v>
      </c>
      <c r="O11" s="8">
        <v>250</v>
      </c>
      <c r="P11" s="165">
        <v>1.5</v>
      </c>
      <c r="Q11" s="9">
        <f t="shared" si="3"/>
        <v>933333.33333333337</v>
      </c>
    </row>
    <row r="12" spans="2:17" ht="15.75" customHeight="1" x14ac:dyDescent="0.15">
      <c r="B12" s="160" t="s">
        <v>120</v>
      </c>
      <c r="C12" s="156" t="s">
        <v>118</v>
      </c>
      <c r="D12" s="7" t="s">
        <v>22</v>
      </c>
      <c r="E12" s="7" t="s">
        <v>122</v>
      </c>
      <c r="F12" s="7" t="s">
        <v>58</v>
      </c>
      <c r="G12" s="178">
        <v>0.02</v>
      </c>
      <c r="H12" s="8">
        <f t="shared" si="0"/>
        <v>350000</v>
      </c>
      <c r="I12" s="179"/>
      <c r="J12" s="179"/>
      <c r="K12" s="179"/>
      <c r="L12" s="179"/>
      <c r="M12" s="179"/>
      <c r="N12" s="9">
        <f>H12/O12*1000</f>
        <v>1750000</v>
      </c>
      <c r="O12" s="8">
        <v>200</v>
      </c>
      <c r="P12" s="165">
        <v>1.5</v>
      </c>
      <c r="Q12" s="9">
        <f t="shared" si="3"/>
        <v>1166666.6666666667</v>
      </c>
    </row>
    <row r="13" spans="2:17" ht="15.75" customHeight="1" x14ac:dyDescent="0.15">
      <c r="B13" s="160" t="s">
        <v>120</v>
      </c>
      <c r="C13" s="156" t="s">
        <v>129</v>
      </c>
      <c r="D13" s="7" t="s">
        <v>22</v>
      </c>
      <c r="E13" s="7" t="s">
        <v>125</v>
      </c>
      <c r="F13" s="7" t="s">
        <v>48</v>
      </c>
      <c r="G13" s="178">
        <v>0.02</v>
      </c>
      <c r="H13" s="8">
        <f t="shared" si="0"/>
        <v>350000</v>
      </c>
      <c r="I13" s="179"/>
      <c r="J13" s="179"/>
      <c r="K13" s="179"/>
      <c r="L13" s="179"/>
      <c r="M13" s="179"/>
      <c r="N13" s="9">
        <f>H13/O13*1000</f>
        <v>1750000</v>
      </c>
      <c r="O13" s="8">
        <v>200</v>
      </c>
      <c r="P13" s="165">
        <v>1.5</v>
      </c>
      <c r="Q13" s="9">
        <f t="shared" si="3"/>
        <v>1166666.6666666667</v>
      </c>
    </row>
    <row r="14" spans="2:17" ht="15.75" customHeight="1" x14ac:dyDescent="0.15">
      <c r="B14" s="160" t="s">
        <v>120</v>
      </c>
      <c r="C14" s="156" t="s">
        <v>116</v>
      </c>
      <c r="D14" s="7" t="s">
        <v>22</v>
      </c>
      <c r="E14" s="7" t="s">
        <v>125</v>
      </c>
      <c r="F14" s="7" t="s">
        <v>21</v>
      </c>
      <c r="G14" s="178">
        <v>0.02</v>
      </c>
      <c r="H14" s="8">
        <f t="shared" si="0"/>
        <v>350000</v>
      </c>
      <c r="I14" s="179"/>
      <c r="J14" s="179"/>
      <c r="K14" s="179"/>
      <c r="L14" s="179"/>
      <c r="M14" s="179"/>
      <c r="N14" s="9">
        <f>H14/O14*1000</f>
        <v>1400000</v>
      </c>
      <c r="O14" s="8">
        <v>250</v>
      </c>
      <c r="P14" s="165">
        <v>1.5</v>
      </c>
      <c r="Q14" s="9">
        <f t="shared" si="3"/>
        <v>933333.33333333337</v>
      </c>
    </row>
    <row r="15" spans="2:17" ht="15.75" customHeight="1" x14ac:dyDescent="0.15">
      <c r="B15" s="160" t="s">
        <v>120</v>
      </c>
      <c r="C15" s="156" t="s">
        <v>117</v>
      </c>
      <c r="D15" s="7" t="s">
        <v>22</v>
      </c>
      <c r="E15" s="7" t="s">
        <v>125</v>
      </c>
      <c r="F15" s="7" t="s">
        <v>54</v>
      </c>
      <c r="G15" s="178">
        <v>0.02</v>
      </c>
      <c r="H15" s="8">
        <f t="shared" si="0"/>
        <v>350000</v>
      </c>
      <c r="I15" s="179"/>
      <c r="J15" s="179"/>
      <c r="K15" s="179"/>
      <c r="L15" s="179"/>
      <c r="M15" s="179"/>
      <c r="N15" s="9">
        <f>H15/O15*1000</f>
        <v>1166666.6666666667</v>
      </c>
      <c r="O15" s="8">
        <v>300</v>
      </c>
      <c r="P15" s="165">
        <v>1.5</v>
      </c>
      <c r="Q15" s="9">
        <f t="shared" si="3"/>
        <v>777777.77777777787</v>
      </c>
    </row>
    <row r="16" spans="2:17" ht="15.75" customHeight="1" x14ac:dyDescent="0.15">
      <c r="B16" s="180" t="s">
        <v>27</v>
      </c>
      <c r="C16" s="181"/>
      <c r="D16" s="12"/>
      <c r="E16" s="12"/>
      <c r="F16" s="12"/>
      <c r="G16" s="182">
        <f>SUM(G5:G15)</f>
        <v>1.002</v>
      </c>
      <c r="H16" s="183">
        <v>17500000</v>
      </c>
      <c r="I16" s="12"/>
      <c r="J16" s="15">
        <f>SUM(J5:J15)</f>
        <v>6865833.333333334</v>
      </c>
      <c r="K16" s="15">
        <f>SUM(K5:K15)</f>
        <v>90.647849462365599</v>
      </c>
      <c r="L16" s="12"/>
      <c r="M16" s="12"/>
      <c r="N16" s="15">
        <f>SUM(N5:N15)</f>
        <v>8992958.333333334</v>
      </c>
      <c r="O16" s="12"/>
      <c r="P16" s="12"/>
      <c r="Q16" s="15">
        <f>SUM(Q5:Q15)</f>
        <v>6365315.6565656569</v>
      </c>
    </row>
    <row r="17" spans="2:17" ht="15.75" customHeight="1" x14ac:dyDescent="0.15">
      <c r="B17" s="10" t="s">
        <v>28</v>
      </c>
    </row>
    <row r="18" spans="2:17" ht="15.75" customHeight="1" x14ac:dyDescent="0.15">
      <c r="B18" s="184" t="s">
        <v>130</v>
      </c>
      <c r="C18" s="184"/>
      <c r="D18" s="184"/>
      <c r="E18" s="184"/>
      <c r="F18" s="184"/>
      <c r="G18" s="184"/>
      <c r="H18" s="184"/>
      <c r="I18" s="184"/>
      <c r="J18" s="184"/>
      <c r="K18" s="184"/>
      <c r="L18" s="184"/>
      <c r="M18" s="184"/>
      <c r="N18" s="184"/>
      <c r="O18" s="184"/>
      <c r="P18" s="184"/>
      <c r="Q18" s="184"/>
    </row>
    <row r="19" spans="2:17" ht="15.75" customHeight="1" x14ac:dyDescent="0.15">
      <c r="B19" s="184" t="s">
        <v>131</v>
      </c>
      <c r="C19" s="184"/>
      <c r="D19" s="184"/>
      <c r="E19" s="184"/>
      <c r="F19" s="184"/>
      <c r="G19" s="184"/>
      <c r="H19" s="184"/>
      <c r="I19" s="184"/>
      <c r="J19" s="184"/>
      <c r="K19" s="184"/>
      <c r="L19" s="184"/>
      <c r="M19" s="184"/>
      <c r="N19" s="184"/>
      <c r="O19" s="184"/>
      <c r="P19" s="184"/>
      <c r="Q19" s="184"/>
    </row>
    <row r="20" spans="2:17" ht="15.75" customHeight="1" x14ac:dyDescent="0.25">
      <c r="B20" s="157"/>
    </row>
    <row r="21" spans="2:17" ht="15.75" customHeight="1" x14ac:dyDescent="0.25">
      <c r="B21" s="157" t="s">
        <v>132</v>
      </c>
    </row>
    <row r="23" spans="2:17" ht="15.75" customHeight="1" x14ac:dyDescent="0.15">
      <c r="B23" s="158" t="s">
        <v>88</v>
      </c>
      <c r="C23" s="159" t="s">
        <v>2</v>
      </c>
      <c r="D23" s="5" t="s">
        <v>3</v>
      </c>
      <c r="E23" s="5" t="s">
        <v>4</v>
      </c>
      <c r="F23" s="5" t="s">
        <v>5</v>
      </c>
      <c r="G23" s="5" t="s">
        <v>6</v>
      </c>
      <c r="H23" s="5" t="s">
        <v>7</v>
      </c>
      <c r="I23" s="5" t="s">
        <v>8</v>
      </c>
      <c r="J23" s="5" t="s">
        <v>9</v>
      </c>
      <c r="K23" s="5" t="s">
        <v>10</v>
      </c>
      <c r="L23" s="5" t="s">
        <v>11</v>
      </c>
      <c r="M23" s="5" t="s">
        <v>12</v>
      </c>
      <c r="N23" s="5" t="s">
        <v>13</v>
      </c>
      <c r="O23" s="5" t="s">
        <v>14</v>
      </c>
      <c r="P23" s="5" t="s">
        <v>15</v>
      </c>
      <c r="Q23" s="5" t="s">
        <v>16</v>
      </c>
    </row>
    <row r="24" spans="2:17" ht="15.75" customHeight="1" x14ac:dyDescent="0.15">
      <c r="B24" s="160" t="s">
        <v>120</v>
      </c>
      <c r="C24" s="156" t="s">
        <v>17</v>
      </c>
      <c r="D24" s="7" t="s">
        <v>19</v>
      </c>
      <c r="E24" s="7" t="s">
        <v>125</v>
      </c>
      <c r="F24" s="7" t="s">
        <v>21</v>
      </c>
      <c r="G24" s="185">
        <v>0.1</v>
      </c>
      <c r="H24" s="8">
        <f t="shared" ref="H24:H33" si="4">$H$34*G24</f>
        <v>3000000</v>
      </c>
      <c r="I24" s="162">
        <v>3</v>
      </c>
      <c r="J24" s="9">
        <f t="shared" ref="J24:J30" si="5">H24/I24</f>
        <v>1000000</v>
      </c>
      <c r="K24" s="163">
        <f t="shared" ref="K24:K30" si="6">J24/L24</f>
        <v>5</v>
      </c>
      <c r="L24" s="9">
        <v>200000</v>
      </c>
      <c r="M24" s="164">
        <v>0.2</v>
      </c>
      <c r="N24" s="9">
        <f t="shared" ref="N24:N30" si="7">J24*M24</f>
        <v>200000</v>
      </c>
      <c r="O24" s="8">
        <f t="shared" ref="O24:O30" si="8">H24*1000/N24</f>
        <v>15000</v>
      </c>
      <c r="P24" s="165">
        <v>1.1000000000000001</v>
      </c>
      <c r="Q24" s="9">
        <f t="shared" ref="Q24:Q33" si="9">N24/P24</f>
        <v>181818.18181818179</v>
      </c>
    </row>
    <row r="25" spans="2:17" ht="15.75" customHeight="1" x14ac:dyDescent="0.15">
      <c r="B25" s="160" t="s">
        <v>120</v>
      </c>
      <c r="C25" s="156" t="s">
        <v>17</v>
      </c>
      <c r="D25" s="7" t="s">
        <v>19</v>
      </c>
      <c r="E25" s="7" t="s">
        <v>125</v>
      </c>
      <c r="F25" s="7" t="s">
        <v>54</v>
      </c>
      <c r="G25" s="17">
        <v>0.15</v>
      </c>
      <c r="H25" s="8">
        <f t="shared" si="4"/>
        <v>4500000</v>
      </c>
      <c r="I25" s="162">
        <v>3.5</v>
      </c>
      <c r="J25" s="9">
        <f t="shared" si="5"/>
        <v>1285714.2857142857</v>
      </c>
      <c r="K25" s="163">
        <f t="shared" si="6"/>
        <v>6.4285714285714288</v>
      </c>
      <c r="L25" s="9">
        <v>200000</v>
      </c>
      <c r="M25" s="186">
        <v>0.25</v>
      </c>
      <c r="N25" s="9">
        <f t="shared" si="7"/>
        <v>321428.57142857142</v>
      </c>
      <c r="O25" s="8">
        <f t="shared" si="8"/>
        <v>14000</v>
      </c>
      <c r="P25" s="165">
        <v>1.1000000000000001</v>
      </c>
      <c r="Q25" s="9">
        <f t="shared" si="9"/>
        <v>292207.79220779217</v>
      </c>
    </row>
    <row r="26" spans="2:17" ht="15.75" customHeight="1" x14ac:dyDescent="0.15">
      <c r="B26" s="160" t="s">
        <v>120</v>
      </c>
      <c r="C26" s="156" t="s">
        <v>17</v>
      </c>
      <c r="D26" s="7" t="s">
        <v>19</v>
      </c>
      <c r="E26" s="7" t="s">
        <v>125</v>
      </c>
      <c r="F26" s="7" t="s">
        <v>58</v>
      </c>
      <c r="G26" s="185">
        <v>0.15</v>
      </c>
      <c r="H26" s="8">
        <f t="shared" si="4"/>
        <v>4500000</v>
      </c>
      <c r="I26" s="162">
        <v>5</v>
      </c>
      <c r="J26" s="9">
        <f t="shared" si="5"/>
        <v>900000</v>
      </c>
      <c r="K26" s="163">
        <f t="shared" si="6"/>
        <v>4.5</v>
      </c>
      <c r="L26" s="9">
        <v>200000</v>
      </c>
      <c r="M26" s="164">
        <v>0.3</v>
      </c>
      <c r="N26" s="9">
        <f t="shared" si="7"/>
        <v>270000</v>
      </c>
      <c r="O26" s="8">
        <f t="shared" si="8"/>
        <v>16666.666666666668</v>
      </c>
      <c r="P26" s="165">
        <v>1.1000000000000001</v>
      </c>
      <c r="Q26" s="9">
        <f t="shared" si="9"/>
        <v>245454.54545454544</v>
      </c>
    </row>
    <row r="27" spans="2:17" ht="15.75" customHeight="1" x14ac:dyDescent="0.15">
      <c r="B27" s="160" t="s">
        <v>120</v>
      </c>
      <c r="C27" s="156" t="s">
        <v>95</v>
      </c>
      <c r="D27" s="7" t="s">
        <v>19</v>
      </c>
      <c r="E27" s="7" t="s">
        <v>125</v>
      </c>
      <c r="F27" s="7" t="s">
        <v>58</v>
      </c>
      <c r="G27" s="185">
        <v>0.12</v>
      </c>
      <c r="H27" s="8">
        <f t="shared" si="4"/>
        <v>3600000</v>
      </c>
      <c r="I27" s="162">
        <v>5</v>
      </c>
      <c r="J27" s="9">
        <f t="shared" si="5"/>
        <v>720000</v>
      </c>
      <c r="K27" s="163">
        <f t="shared" si="6"/>
        <v>2.4</v>
      </c>
      <c r="L27" s="9">
        <v>300000</v>
      </c>
      <c r="M27" s="164">
        <v>0.3</v>
      </c>
      <c r="N27" s="9">
        <f t="shared" si="7"/>
        <v>216000</v>
      </c>
      <c r="O27" s="8">
        <f t="shared" si="8"/>
        <v>16666.666666666668</v>
      </c>
      <c r="P27" s="165">
        <v>1.1000000000000001</v>
      </c>
      <c r="Q27" s="9">
        <f t="shared" si="9"/>
        <v>196363.63636363635</v>
      </c>
    </row>
    <row r="28" spans="2:17" ht="15.75" customHeight="1" x14ac:dyDescent="0.15">
      <c r="B28" s="160" t="s">
        <v>120</v>
      </c>
      <c r="C28" s="156" t="s">
        <v>95</v>
      </c>
      <c r="D28" s="7" t="s">
        <v>19</v>
      </c>
      <c r="E28" s="7" t="s">
        <v>125</v>
      </c>
      <c r="F28" s="7" t="s">
        <v>54</v>
      </c>
      <c r="G28" s="185">
        <v>0.12</v>
      </c>
      <c r="H28" s="8">
        <f t="shared" si="4"/>
        <v>3600000</v>
      </c>
      <c r="I28" s="162">
        <v>5</v>
      </c>
      <c r="J28" s="9">
        <f t="shared" si="5"/>
        <v>720000</v>
      </c>
      <c r="K28" s="163">
        <f t="shared" si="6"/>
        <v>2.4</v>
      </c>
      <c r="L28" s="9">
        <v>300000</v>
      </c>
      <c r="M28" s="164">
        <v>0.3</v>
      </c>
      <c r="N28" s="9">
        <f t="shared" si="7"/>
        <v>216000</v>
      </c>
      <c r="O28" s="8">
        <f t="shared" si="8"/>
        <v>16666.666666666668</v>
      </c>
      <c r="P28" s="165">
        <v>1.1000000000000001</v>
      </c>
      <c r="Q28" s="9">
        <f t="shared" si="9"/>
        <v>196363.63636363635</v>
      </c>
    </row>
    <row r="29" spans="2:17" ht="15.75" customHeight="1" x14ac:dyDescent="0.15">
      <c r="B29" s="160" t="s">
        <v>120</v>
      </c>
      <c r="C29" s="156" t="s">
        <v>133</v>
      </c>
      <c r="D29" s="7" t="s">
        <v>19</v>
      </c>
      <c r="E29" s="7" t="s">
        <v>125</v>
      </c>
      <c r="F29" s="7" t="s">
        <v>58</v>
      </c>
      <c r="G29" s="185">
        <v>0.15</v>
      </c>
      <c r="H29" s="8">
        <f t="shared" si="4"/>
        <v>4500000</v>
      </c>
      <c r="I29" s="162">
        <v>5</v>
      </c>
      <c r="J29" s="9">
        <f t="shared" si="5"/>
        <v>900000</v>
      </c>
      <c r="K29" s="163">
        <f t="shared" si="6"/>
        <v>3</v>
      </c>
      <c r="L29" s="9">
        <v>300000</v>
      </c>
      <c r="M29" s="164">
        <v>0.3</v>
      </c>
      <c r="N29" s="9">
        <f t="shared" si="7"/>
        <v>270000</v>
      </c>
      <c r="O29" s="8">
        <f t="shared" si="8"/>
        <v>16666.666666666668</v>
      </c>
      <c r="P29" s="165">
        <v>1.1000000000000001</v>
      </c>
      <c r="Q29" s="9">
        <f t="shared" si="9"/>
        <v>245454.54545454544</v>
      </c>
    </row>
    <row r="30" spans="2:17" ht="15.75" customHeight="1" x14ac:dyDescent="0.15">
      <c r="B30" s="160" t="s">
        <v>120</v>
      </c>
      <c r="C30" s="156" t="s">
        <v>133</v>
      </c>
      <c r="D30" s="7" t="s">
        <v>19</v>
      </c>
      <c r="E30" s="7" t="s">
        <v>125</v>
      </c>
      <c r="F30" s="7" t="s">
        <v>54</v>
      </c>
      <c r="G30" s="185">
        <v>0.15</v>
      </c>
      <c r="H30" s="8">
        <f t="shared" si="4"/>
        <v>4500000</v>
      </c>
      <c r="I30" s="162">
        <v>5</v>
      </c>
      <c r="J30" s="9">
        <f t="shared" si="5"/>
        <v>900000</v>
      </c>
      <c r="K30" s="163">
        <f t="shared" si="6"/>
        <v>3</v>
      </c>
      <c r="L30" s="9">
        <v>300000</v>
      </c>
      <c r="M30" s="164">
        <v>0.3</v>
      </c>
      <c r="N30" s="9">
        <f t="shared" si="7"/>
        <v>270000</v>
      </c>
      <c r="O30" s="8">
        <f t="shared" si="8"/>
        <v>16666.666666666668</v>
      </c>
      <c r="P30" s="165">
        <v>1.1000000000000001</v>
      </c>
      <c r="Q30" s="9">
        <f t="shared" si="9"/>
        <v>245454.54545454544</v>
      </c>
    </row>
    <row r="31" spans="2:17" ht="15.75" customHeight="1" x14ac:dyDescent="0.15">
      <c r="B31" s="160" t="s">
        <v>120</v>
      </c>
      <c r="C31" s="156" t="s">
        <v>118</v>
      </c>
      <c r="D31" s="7" t="s">
        <v>22</v>
      </c>
      <c r="E31" s="7" t="s">
        <v>125</v>
      </c>
      <c r="F31" s="7" t="s">
        <v>58</v>
      </c>
      <c r="G31" s="178">
        <v>0.02</v>
      </c>
      <c r="H31" s="8">
        <f t="shared" si="4"/>
        <v>600000</v>
      </c>
      <c r="I31" s="179"/>
      <c r="J31" s="179"/>
      <c r="K31" s="179"/>
      <c r="L31" s="179"/>
      <c r="M31" s="179"/>
      <c r="N31" s="9">
        <f>H31/O31*1000</f>
        <v>3000000</v>
      </c>
      <c r="O31" s="8">
        <v>200</v>
      </c>
      <c r="P31" s="165">
        <v>1.5</v>
      </c>
      <c r="Q31" s="9">
        <f t="shared" si="9"/>
        <v>2000000</v>
      </c>
    </row>
    <row r="32" spans="2:17" ht="15.75" customHeight="1" x14ac:dyDescent="0.15">
      <c r="B32" s="160" t="s">
        <v>120</v>
      </c>
      <c r="C32" s="156" t="s">
        <v>116</v>
      </c>
      <c r="D32" s="7" t="s">
        <v>22</v>
      </c>
      <c r="E32" s="7" t="s">
        <v>125</v>
      </c>
      <c r="F32" s="7" t="s">
        <v>21</v>
      </c>
      <c r="G32" s="178">
        <v>0.02</v>
      </c>
      <c r="H32" s="8">
        <f t="shared" si="4"/>
        <v>600000</v>
      </c>
      <c r="I32" s="179"/>
      <c r="J32" s="179"/>
      <c r="K32" s="179"/>
      <c r="L32" s="179"/>
      <c r="M32" s="179"/>
      <c r="N32" s="9">
        <f>H32/O32*1000</f>
        <v>2400000</v>
      </c>
      <c r="O32" s="8">
        <v>250</v>
      </c>
      <c r="P32" s="165">
        <v>1.5</v>
      </c>
      <c r="Q32" s="9">
        <f t="shared" si="9"/>
        <v>1600000</v>
      </c>
    </row>
    <row r="33" spans="2:17" ht="15.75" customHeight="1" x14ac:dyDescent="0.15">
      <c r="B33" s="160" t="s">
        <v>120</v>
      </c>
      <c r="C33" s="156" t="s">
        <v>117</v>
      </c>
      <c r="D33" s="7" t="s">
        <v>22</v>
      </c>
      <c r="E33" s="7" t="s">
        <v>125</v>
      </c>
      <c r="F33" s="7" t="s">
        <v>54</v>
      </c>
      <c r="G33" s="178">
        <v>0.02</v>
      </c>
      <c r="H33" s="8">
        <f t="shared" si="4"/>
        <v>600000</v>
      </c>
      <c r="I33" s="179"/>
      <c r="J33" s="179"/>
      <c r="K33" s="179"/>
      <c r="L33" s="179"/>
      <c r="M33" s="179"/>
      <c r="N33" s="9">
        <f>H33/O33*1000</f>
        <v>2000000</v>
      </c>
      <c r="O33" s="8">
        <v>300</v>
      </c>
      <c r="P33" s="165">
        <v>1.5</v>
      </c>
      <c r="Q33" s="9">
        <f t="shared" si="9"/>
        <v>1333333.3333333333</v>
      </c>
    </row>
    <row r="34" spans="2:17" ht="15.75" customHeight="1" x14ac:dyDescent="0.15">
      <c r="B34" s="180" t="s">
        <v>27</v>
      </c>
      <c r="C34" s="181"/>
      <c r="D34" s="12"/>
      <c r="E34" s="12"/>
      <c r="F34" s="12"/>
      <c r="G34" s="182">
        <f>SUM(G22:G33)</f>
        <v>1</v>
      </c>
      <c r="H34" s="183">
        <v>30000000</v>
      </c>
      <c r="I34" s="12"/>
      <c r="J34" s="15">
        <f>SUM(J22:J33)</f>
        <v>6425714.2857142854</v>
      </c>
      <c r="K34" s="15">
        <f>SUM(K24:K30)</f>
        <v>26.728571428571428</v>
      </c>
      <c r="L34" s="12"/>
      <c r="M34" s="12"/>
      <c r="N34" s="15">
        <f>SUM(N22:N33)</f>
        <v>9163428.5714285709</v>
      </c>
      <c r="O34" s="12"/>
      <c r="P34" s="12"/>
      <c r="Q34" s="15">
        <f>SUM(Q22:Q33)</f>
        <v>6536450.2164502153</v>
      </c>
    </row>
    <row r="35" spans="2:17" ht="15.75" customHeight="1" x14ac:dyDescent="0.15">
      <c r="B35" s="10" t="s">
        <v>28</v>
      </c>
    </row>
    <row r="36" spans="2:17" ht="15.75" customHeight="1" x14ac:dyDescent="0.15">
      <c r="B36" s="184" t="s">
        <v>134</v>
      </c>
      <c r="C36" s="184"/>
      <c r="D36" s="184"/>
      <c r="E36" s="184"/>
      <c r="F36" s="184"/>
      <c r="G36" s="184"/>
      <c r="H36" s="184"/>
      <c r="I36" s="184"/>
      <c r="J36" s="184"/>
      <c r="K36" s="184"/>
      <c r="L36" s="184"/>
      <c r="M36" s="184"/>
      <c r="N36" s="184"/>
      <c r="O36" s="184"/>
      <c r="P36" s="184"/>
      <c r="Q36" s="184"/>
    </row>
    <row r="37" spans="2:17" ht="15.75" customHeight="1" x14ac:dyDescent="0.15">
      <c r="B37" s="184" t="s">
        <v>135</v>
      </c>
      <c r="C37" s="184"/>
      <c r="D37" s="184"/>
      <c r="E37" s="184"/>
      <c r="F37" s="184"/>
      <c r="G37" s="184"/>
      <c r="H37" s="184"/>
      <c r="I37" s="184"/>
      <c r="J37" s="184"/>
      <c r="K37" s="184"/>
      <c r="L37" s="184"/>
      <c r="M37" s="184"/>
      <c r="N37" s="184"/>
      <c r="O37" s="184"/>
      <c r="P37" s="184"/>
      <c r="Q37" s="184"/>
    </row>
    <row r="38" spans="2:17" ht="15.75" customHeight="1" x14ac:dyDescent="0.25">
      <c r="B38" s="157"/>
    </row>
    <row r="39" spans="2:17" ht="15.75" customHeight="1" x14ac:dyDescent="0.25">
      <c r="B39" s="157" t="s">
        <v>136</v>
      </c>
    </row>
    <row r="41" spans="2:17" ht="15.75" customHeight="1" x14ac:dyDescent="0.15">
      <c r="B41" s="158" t="s">
        <v>88</v>
      </c>
      <c r="C41" s="159" t="s">
        <v>2</v>
      </c>
      <c r="D41" s="5" t="s">
        <v>3</v>
      </c>
      <c r="E41" s="5" t="s">
        <v>4</v>
      </c>
      <c r="F41" s="5" t="s">
        <v>5</v>
      </c>
      <c r="G41" s="5" t="s">
        <v>6</v>
      </c>
      <c r="H41" s="5" t="s">
        <v>7</v>
      </c>
      <c r="I41" s="5" t="s">
        <v>8</v>
      </c>
      <c r="J41" s="5" t="s">
        <v>9</v>
      </c>
      <c r="K41" s="5" t="s">
        <v>10</v>
      </c>
      <c r="L41" s="5" t="s">
        <v>11</v>
      </c>
      <c r="M41" s="5" t="s">
        <v>12</v>
      </c>
      <c r="N41" s="5" t="s">
        <v>13</v>
      </c>
      <c r="O41" s="5" t="s">
        <v>14</v>
      </c>
      <c r="P41" s="5" t="s">
        <v>15</v>
      </c>
      <c r="Q41" s="5" t="s">
        <v>16</v>
      </c>
    </row>
    <row r="42" spans="2:17" ht="15.75" customHeight="1" x14ac:dyDescent="0.15">
      <c r="B42" s="160" t="s">
        <v>137</v>
      </c>
      <c r="C42" s="156" t="s">
        <v>121</v>
      </c>
      <c r="D42" s="7" t="s">
        <v>19</v>
      </c>
      <c r="E42" s="7" t="s">
        <v>122</v>
      </c>
      <c r="F42" s="7" t="s">
        <v>48</v>
      </c>
      <c r="G42" s="187">
        <v>5.0000000000000001E-3</v>
      </c>
      <c r="H42" s="8">
        <f t="shared" ref="H42:H50" si="10">$H$56*G42</f>
        <v>200000</v>
      </c>
      <c r="I42" s="162">
        <v>3</v>
      </c>
      <c r="J42" s="9">
        <f t="shared" ref="J42:J50" si="11">H42/I42</f>
        <v>66666.666666666672</v>
      </c>
      <c r="K42" s="163">
        <f>J42/L42</f>
        <v>0.53763440860215062</v>
      </c>
      <c r="L42" s="9">
        <v>124000</v>
      </c>
      <c r="M42" s="164">
        <v>0.2</v>
      </c>
      <c r="N42" s="9">
        <f t="shared" ref="N42:N50" si="12">J42*M42</f>
        <v>13333.333333333336</v>
      </c>
      <c r="O42" s="8">
        <f t="shared" ref="O42:O50" si="13">H42*1000/N42</f>
        <v>14999.999999999998</v>
      </c>
      <c r="P42" s="165">
        <v>1.1000000000000001</v>
      </c>
      <c r="Q42" s="9">
        <f t="shared" ref="Q42:Q55" si="14">N42/P42</f>
        <v>12121.212121212122</v>
      </c>
    </row>
    <row r="43" spans="2:17" ht="15.75" customHeight="1" x14ac:dyDescent="0.15">
      <c r="B43" s="160" t="s">
        <v>137</v>
      </c>
      <c r="C43" s="156" t="s">
        <v>123</v>
      </c>
      <c r="D43" s="7" t="s">
        <v>19</v>
      </c>
      <c r="E43" s="7" t="s">
        <v>122</v>
      </c>
      <c r="F43" s="7" t="s">
        <v>65</v>
      </c>
      <c r="G43" s="187">
        <v>0.13</v>
      </c>
      <c r="H43" s="8">
        <f t="shared" si="10"/>
        <v>5200000</v>
      </c>
      <c r="I43" s="162">
        <v>3</v>
      </c>
      <c r="J43" s="9">
        <f t="shared" si="11"/>
        <v>1733333.3333333333</v>
      </c>
      <c r="K43" s="163">
        <v>1</v>
      </c>
      <c r="L43" s="9">
        <v>540000</v>
      </c>
      <c r="M43" s="164">
        <v>0.2</v>
      </c>
      <c r="N43" s="9">
        <f t="shared" si="12"/>
        <v>346666.66666666669</v>
      </c>
      <c r="O43" s="8">
        <f t="shared" si="13"/>
        <v>15000</v>
      </c>
      <c r="P43" s="165">
        <v>1.1000000000000001</v>
      </c>
      <c r="Q43" s="9">
        <f t="shared" si="14"/>
        <v>315151.51515151514</v>
      </c>
    </row>
    <row r="44" spans="2:17" ht="15.75" customHeight="1" x14ac:dyDescent="0.15">
      <c r="B44" s="160" t="s">
        <v>137</v>
      </c>
      <c r="C44" s="156" t="s">
        <v>124</v>
      </c>
      <c r="D44" s="7" t="s">
        <v>19</v>
      </c>
      <c r="E44" s="7" t="s">
        <v>122</v>
      </c>
      <c r="F44" s="7" t="s">
        <v>58</v>
      </c>
      <c r="G44" s="187">
        <v>0.13</v>
      </c>
      <c r="H44" s="8">
        <f t="shared" si="10"/>
        <v>5200000</v>
      </c>
      <c r="I44" s="162">
        <v>3</v>
      </c>
      <c r="J44" s="9">
        <f t="shared" si="11"/>
        <v>1733333.3333333333</v>
      </c>
      <c r="K44" s="163">
        <v>1</v>
      </c>
      <c r="L44" s="9">
        <v>850000</v>
      </c>
      <c r="M44" s="164">
        <v>0.2</v>
      </c>
      <c r="N44" s="9">
        <f t="shared" si="12"/>
        <v>346666.66666666669</v>
      </c>
      <c r="O44" s="8">
        <f t="shared" si="13"/>
        <v>15000</v>
      </c>
      <c r="P44" s="165">
        <v>1.1000000000000001</v>
      </c>
      <c r="Q44" s="9">
        <f t="shared" si="14"/>
        <v>315151.51515151514</v>
      </c>
    </row>
    <row r="45" spans="2:17" ht="15.75" customHeight="1" x14ac:dyDescent="0.15">
      <c r="B45" s="160" t="s">
        <v>137</v>
      </c>
      <c r="C45" s="156" t="s">
        <v>17</v>
      </c>
      <c r="D45" s="7" t="s">
        <v>19</v>
      </c>
      <c r="E45" s="7" t="s">
        <v>125</v>
      </c>
      <c r="F45" s="7" t="s">
        <v>21</v>
      </c>
      <c r="G45" s="188">
        <v>0.1</v>
      </c>
      <c r="H45" s="8">
        <f t="shared" si="10"/>
        <v>4000000</v>
      </c>
      <c r="I45" s="162">
        <v>3</v>
      </c>
      <c r="J45" s="9">
        <f t="shared" si="11"/>
        <v>1333333.3333333333</v>
      </c>
      <c r="K45" s="163">
        <f t="shared" ref="K45:K50" si="15">J45/L45</f>
        <v>13.333333333333332</v>
      </c>
      <c r="L45" s="9">
        <v>100000</v>
      </c>
      <c r="M45" s="164">
        <v>0.3</v>
      </c>
      <c r="N45" s="9">
        <f t="shared" si="12"/>
        <v>399999.99999999994</v>
      </c>
      <c r="O45" s="8">
        <f t="shared" si="13"/>
        <v>10000.000000000002</v>
      </c>
      <c r="P45" s="165">
        <v>1.1000000000000001</v>
      </c>
      <c r="Q45" s="9">
        <f t="shared" si="14"/>
        <v>363636.36363636353</v>
      </c>
    </row>
    <row r="46" spans="2:17" ht="15.75" customHeight="1" x14ac:dyDescent="0.15">
      <c r="B46" s="160" t="s">
        <v>137</v>
      </c>
      <c r="C46" s="156" t="s">
        <v>17</v>
      </c>
      <c r="D46" s="7" t="s">
        <v>19</v>
      </c>
      <c r="E46" s="7" t="s">
        <v>125</v>
      </c>
      <c r="F46" s="7" t="s">
        <v>54</v>
      </c>
      <c r="G46" s="188">
        <v>0.1</v>
      </c>
      <c r="H46" s="8">
        <f t="shared" si="10"/>
        <v>4000000</v>
      </c>
      <c r="I46" s="162">
        <v>3.5</v>
      </c>
      <c r="J46" s="9">
        <f t="shared" si="11"/>
        <v>1142857.142857143</v>
      </c>
      <c r="K46" s="163">
        <f t="shared" si="15"/>
        <v>11.428571428571429</v>
      </c>
      <c r="L46" s="9">
        <v>100000</v>
      </c>
      <c r="M46" s="164">
        <v>0.3</v>
      </c>
      <c r="N46" s="9">
        <f t="shared" si="12"/>
        <v>342857.1428571429</v>
      </c>
      <c r="O46" s="8">
        <f t="shared" si="13"/>
        <v>11666.666666666666</v>
      </c>
      <c r="P46" s="165">
        <v>1.1000000000000001</v>
      </c>
      <c r="Q46" s="9">
        <f t="shared" si="14"/>
        <v>311688.31168831169</v>
      </c>
    </row>
    <row r="47" spans="2:17" ht="15.75" customHeight="1" x14ac:dyDescent="0.15">
      <c r="B47" s="160" t="s">
        <v>137</v>
      </c>
      <c r="C47" s="156" t="s">
        <v>17</v>
      </c>
      <c r="D47" s="7" t="s">
        <v>19</v>
      </c>
      <c r="E47" s="7" t="s">
        <v>125</v>
      </c>
      <c r="F47" s="7" t="s">
        <v>58</v>
      </c>
      <c r="G47" s="188">
        <v>0.1</v>
      </c>
      <c r="H47" s="8">
        <f t="shared" si="10"/>
        <v>4000000</v>
      </c>
      <c r="I47" s="162">
        <v>5</v>
      </c>
      <c r="J47" s="9">
        <f t="shared" si="11"/>
        <v>800000</v>
      </c>
      <c r="K47" s="163">
        <f t="shared" si="15"/>
        <v>2.6666666666666665</v>
      </c>
      <c r="L47" s="9">
        <v>300000</v>
      </c>
      <c r="M47" s="164">
        <v>0.3</v>
      </c>
      <c r="N47" s="9">
        <f t="shared" si="12"/>
        <v>240000</v>
      </c>
      <c r="O47" s="8">
        <f t="shared" si="13"/>
        <v>16666.666666666668</v>
      </c>
      <c r="P47" s="165">
        <v>1.1000000000000001</v>
      </c>
      <c r="Q47" s="9">
        <f t="shared" si="14"/>
        <v>218181.81818181818</v>
      </c>
    </row>
    <row r="48" spans="2:17" ht="15.75" customHeight="1" x14ac:dyDescent="0.15">
      <c r="B48" s="160" t="s">
        <v>120</v>
      </c>
      <c r="C48" s="156" t="s">
        <v>138</v>
      </c>
      <c r="D48" s="7" t="s">
        <v>19</v>
      </c>
      <c r="E48" s="7" t="s">
        <v>139</v>
      </c>
      <c r="F48" s="7" t="s">
        <v>21</v>
      </c>
      <c r="G48" s="188">
        <v>0.15</v>
      </c>
      <c r="H48" s="8">
        <f t="shared" si="10"/>
        <v>6000000</v>
      </c>
      <c r="I48" s="162">
        <v>3</v>
      </c>
      <c r="J48" s="9">
        <f t="shared" si="11"/>
        <v>2000000</v>
      </c>
      <c r="K48" s="163">
        <f t="shared" si="15"/>
        <v>13.333333333333334</v>
      </c>
      <c r="L48" s="9">
        <v>150000</v>
      </c>
      <c r="M48" s="164">
        <v>0.3</v>
      </c>
      <c r="N48" s="9">
        <f t="shared" si="12"/>
        <v>600000</v>
      </c>
      <c r="O48" s="8">
        <f t="shared" si="13"/>
        <v>10000</v>
      </c>
      <c r="P48" s="165">
        <v>1.1000000000000001</v>
      </c>
      <c r="Q48" s="9">
        <f t="shared" si="14"/>
        <v>545454.54545454541</v>
      </c>
    </row>
    <row r="49" spans="2:17" ht="15.75" customHeight="1" x14ac:dyDescent="0.15">
      <c r="B49" s="160" t="s">
        <v>120</v>
      </c>
      <c r="C49" s="156" t="s">
        <v>95</v>
      </c>
      <c r="D49" s="7" t="s">
        <v>19</v>
      </c>
      <c r="E49" s="7" t="s">
        <v>139</v>
      </c>
      <c r="F49" s="7" t="s">
        <v>54</v>
      </c>
      <c r="G49" s="188">
        <v>0.1</v>
      </c>
      <c r="H49" s="8">
        <f t="shared" si="10"/>
        <v>4000000</v>
      </c>
      <c r="I49" s="162">
        <v>3.5</v>
      </c>
      <c r="J49" s="9">
        <f t="shared" si="11"/>
        <v>1142857.142857143</v>
      </c>
      <c r="K49" s="163">
        <f t="shared" si="15"/>
        <v>3.8095238095238098</v>
      </c>
      <c r="L49" s="9">
        <v>300000</v>
      </c>
      <c r="M49" s="164">
        <v>0.3</v>
      </c>
      <c r="N49" s="9">
        <f t="shared" si="12"/>
        <v>342857.1428571429</v>
      </c>
      <c r="O49" s="8">
        <f t="shared" si="13"/>
        <v>11666.666666666666</v>
      </c>
      <c r="P49" s="165">
        <v>1.1000000000000001</v>
      </c>
      <c r="Q49" s="9">
        <f t="shared" si="14"/>
        <v>311688.31168831169</v>
      </c>
    </row>
    <row r="50" spans="2:17" ht="15.75" customHeight="1" x14ac:dyDescent="0.15">
      <c r="B50" s="160" t="s">
        <v>120</v>
      </c>
      <c r="C50" s="156" t="s">
        <v>95</v>
      </c>
      <c r="D50" s="7" t="s">
        <v>19</v>
      </c>
      <c r="E50" s="7" t="s">
        <v>139</v>
      </c>
      <c r="F50" s="7" t="s">
        <v>58</v>
      </c>
      <c r="G50" s="188">
        <v>0.1</v>
      </c>
      <c r="H50" s="8">
        <f t="shared" si="10"/>
        <v>4000000</v>
      </c>
      <c r="I50" s="162">
        <v>5</v>
      </c>
      <c r="J50" s="9">
        <f t="shared" si="11"/>
        <v>800000</v>
      </c>
      <c r="K50" s="163">
        <f t="shared" si="15"/>
        <v>2.6666666666666665</v>
      </c>
      <c r="L50" s="9">
        <v>300000</v>
      </c>
      <c r="M50" s="164">
        <v>0.3</v>
      </c>
      <c r="N50" s="9">
        <f t="shared" si="12"/>
        <v>240000</v>
      </c>
      <c r="O50" s="8">
        <f t="shared" si="13"/>
        <v>16666.666666666668</v>
      </c>
      <c r="P50" s="165">
        <v>1.1000000000000001</v>
      </c>
      <c r="Q50" s="9">
        <f t="shared" si="14"/>
        <v>218181.81818181818</v>
      </c>
    </row>
    <row r="51" spans="2:17" ht="13" customHeight="1" x14ac:dyDescent="0.15">
      <c r="B51" s="160" t="s">
        <v>137</v>
      </c>
      <c r="C51" s="156" t="s">
        <v>128</v>
      </c>
      <c r="D51" s="7" t="s">
        <v>22</v>
      </c>
      <c r="E51" s="7" t="s">
        <v>122</v>
      </c>
      <c r="F51" s="7" t="s">
        <v>65</v>
      </c>
      <c r="G51" s="189">
        <v>0.02</v>
      </c>
      <c r="H51" s="8">
        <f>$H$16*G51</f>
        <v>350000</v>
      </c>
      <c r="I51" s="179"/>
      <c r="J51" s="179"/>
      <c r="K51" s="179"/>
      <c r="L51" s="179"/>
      <c r="M51" s="179"/>
      <c r="N51" s="9">
        <f>H51/O51*1000</f>
        <v>1400000</v>
      </c>
      <c r="O51" s="8">
        <v>250</v>
      </c>
      <c r="P51" s="165">
        <v>1.5</v>
      </c>
      <c r="Q51" s="9">
        <f t="shared" si="14"/>
        <v>933333.33333333337</v>
      </c>
    </row>
    <row r="52" spans="2:17" ht="13" customHeight="1" x14ac:dyDescent="0.15">
      <c r="B52" s="160" t="s">
        <v>137</v>
      </c>
      <c r="C52" s="156" t="s">
        <v>118</v>
      </c>
      <c r="D52" s="7" t="s">
        <v>22</v>
      </c>
      <c r="E52" s="7" t="s">
        <v>122</v>
      </c>
      <c r="F52" s="7" t="s">
        <v>58</v>
      </c>
      <c r="G52" s="189">
        <v>0.02</v>
      </c>
      <c r="H52" s="8">
        <f>$H$16*G52</f>
        <v>350000</v>
      </c>
      <c r="I52" s="179"/>
      <c r="J52" s="179"/>
      <c r="K52" s="179"/>
      <c r="L52" s="179"/>
      <c r="M52" s="179"/>
      <c r="N52" s="9">
        <f>H52/O52*1000</f>
        <v>1750000</v>
      </c>
      <c r="O52" s="8">
        <v>200</v>
      </c>
      <c r="P52" s="165">
        <v>1.5</v>
      </c>
      <c r="Q52" s="9">
        <f t="shared" si="14"/>
        <v>1166666.6666666667</v>
      </c>
    </row>
    <row r="53" spans="2:17" ht="13" customHeight="1" x14ac:dyDescent="0.15">
      <c r="B53" s="160" t="s">
        <v>137</v>
      </c>
      <c r="C53" s="156" t="s">
        <v>129</v>
      </c>
      <c r="D53" s="7" t="s">
        <v>22</v>
      </c>
      <c r="E53" s="7" t="s">
        <v>122</v>
      </c>
      <c r="F53" s="7" t="s">
        <v>48</v>
      </c>
      <c r="G53" s="189">
        <v>0.02</v>
      </c>
      <c r="H53" s="8">
        <f>$H$16*G53</f>
        <v>350000</v>
      </c>
      <c r="I53" s="179"/>
      <c r="J53" s="179"/>
      <c r="K53" s="179"/>
      <c r="L53" s="179"/>
      <c r="M53" s="179"/>
      <c r="N53" s="9">
        <f>H53/O53*1000</f>
        <v>1750000</v>
      </c>
      <c r="O53" s="8">
        <v>200</v>
      </c>
      <c r="P53" s="165">
        <v>1.5</v>
      </c>
      <c r="Q53" s="9">
        <f t="shared" si="14"/>
        <v>1166666.6666666667</v>
      </c>
    </row>
    <row r="54" spans="2:17" ht="13" customHeight="1" x14ac:dyDescent="0.15">
      <c r="B54" s="160" t="s">
        <v>120</v>
      </c>
      <c r="C54" s="156" t="s">
        <v>116</v>
      </c>
      <c r="D54" s="7" t="s">
        <v>22</v>
      </c>
      <c r="E54" s="7" t="s">
        <v>125</v>
      </c>
      <c r="F54" s="7" t="s">
        <v>21</v>
      </c>
      <c r="G54" s="189">
        <v>0.01</v>
      </c>
      <c r="H54" s="8">
        <f>$H$56*G54</f>
        <v>400000</v>
      </c>
      <c r="I54" s="179"/>
      <c r="J54" s="179"/>
      <c r="K54" s="179"/>
      <c r="L54" s="179"/>
      <c r="M54" s="179"/>
      <c r="N54" s="9">
        <f>H54/O54*1000</f>
        <v>1600000</v>
      </c>
      <c r="O54" s="8">
        <v>250</v>
      </c>
      <c r="P54" s="165">
        <v>1.5</v>
      </c>
      <c r="Q54" s="9">
        <f t="shared" si="14"/>
        <v>1066666.6666666667</v>
      </c>
    </row>
    <row r="55" spans="2:17" ht="13" customHeight="1" x14ac:dyDescent="0.15">
      <c r="B55" s="160" t="s">
        <v>120</v>
      </c>
      <c r="C55" s="156" t="s">
        <v>117</v>
      </c>
      <c r="D55" s="7" t="s">
        <v>22</v>
      </c>
      <c r="E55" s="7" t="s">
        <v>125</v>
      </c>
      <c r="F55" s="7" t="s">
        <v>54</v>
      </c>
      <c r="G55" s="189">
        <v>0.01</v>
      </c>
      <c r="H55" s="8">
        <f>$H$56*G55</f>
        <v>400000</v>
      </c>
      <c r="I55" s="179"/>
      <c r="J55" s="179"/>
      <c r="K55" s="179"/>
      <c r="L55" s="179"/>
      <c r="M55" s="179"/>
      <c r="N55" s="9">
        <f>H55/O55*1000</f>
        <v>1333333.3333333333</v>
      </c>
      <c r="O55" s="8">
        <v>300</v>
      </c>
      <c r="P55" s="165">
        <v>1.5</v>
      </c>
      <c r="Q55" s="9">
        <f t="shared" si="14"/>
        <v>888888.88888888888</v>
      </c>
    </row>
    <row r="56" spans="2:17" ht="13" customHeight="1" x14ac:dyDescent="0.15">
      <c r="B56" s="180" t="s">
        <v>27</v>
      </c>
      <c r="C56" s="181"/>
      <c r="D56" s="12"/>
      <c r="E56" s="12"/>
      <c r="F56" s="12"/>
      <c r="G56" s="182">
        <f>SUM(G40:G55)</f>
        <v>0.995</v>
      </c>
      <c r="H56" s="183">
        <v>40000000</v>
      </c>
      <c r="I56" s="12"/>
      <c r="J56" s="15">
        <f>SUM(J40:J55)</f>
        <v>10752380.952380953</v>
      </c>
      <c r="K56" s="15">
        <f>SUM(K40:K55)</f>
        <v>49.775729646697386</v>
      </c>
      <c r="L56" s="12"/>
      <c r="M56" s="12"/>
      <c r="N56" s="15">
        <f>SUM(N40:N55)</f>
        <v>10705714.285714285</v>
      </c>
      <c r="O56" s="12"/>
      <c r="P56" s="12"/>
      <c r="Q56" s="15">
        <f>SUM(Q40:Q55)</f>
        <v>7833477.6334776348</v>
      </c>
    </row>
    <row r="57" spans="2:17" ht="13" customHeight="1" x14ac:dyDescent="0.15">
      <c r="B57" s="10" t="s">
        <v>28</v>
      </c>
    </row>
    <row r="58" spans="2:17" ht="13" customHeight="1" x14ac:dyDescent="0.15">
      <c r="B58" s="184" t="s">
        <v>140</v>
      </c>
      <c r="C58" s="184"/>
      <c r="D58" s="184"/>
      <c r="E58" s="184"/>
      <c r="F58" s="184"/>
      <c r="G58" s="184"/>
      <c r="H58" s="184"/>
      <c r="I58" s="184"/>
      <c r="J58" s="184"/>
      <c r="K58" s="184"/>
      <c r="L58" s="184"/>
      <c r="M58" s="184"/>
      <c r="N58" s="184"/>
      <c r="O58" s="184"/>
      <c r="P58" s="184"/>
      <c r="Q58" s="184"/>
    </row>
    <row r="59" spans="2:17" ht="13" customHeight="1" x14ac:dyDescent="0.15">
      <c r="B59" s="184" t="s">
        <v>141</v>
      </c>
      <c r="C59" s="184"/>
      <c r="D59" s="184"/>
      <c r="E59" s="184"/>
      <c r="F59" s="184"/>
      <c r="G59" s="184"/>
      <c r="H59" s="184"/>
      <c r="I59" s="184"/>
      <c r="J59" s="184"/>
      <c r="K59" s="184"/>
      <c r="L59" s="184"/>
      <c r="M59" s="184"/>
      <c r="N59" s="184"/>
      <c r="O59" s="184"/>
      <c r="P59" s="184"/>
      <c r="Q59" s="184"/>
    </row>
    <row r="60" spans="2:17" ht="23" customHeight="1" x14ac:dyDescent="0.25">
      <c r="B60" s="157"/>
    </row>
    <row r="61" spans="2:17" ht="23" customHeight="1" x14ac:dyDescent="0.25">
      <c r="B61" s="157" t="s">
        <v>142</v>
      </c>
    </row>
    <row r="63" spans="2:17" ht="13" customHeight="1" x14ac:dyDescent="0.15">
      <c r="B63" s="4" t="s">
        <v>88</v>
      </c>
      <c r="C63" s="5" t="s">
        <v>2</v>
      </c>
      <c r="D63" s="5" t="s">
        <v>3</v>
      </c>
      <c r="E63" s="5" t="s">
        <v>4</v>
      </c>
      <c r="F63" s="5" t="s">
        <v>5</v>
      </c>
      <c r="G63" s="5" t="s">
        <v>6</v>
      </c>
      <c r="H63" s="5" t="s">
        <v>7</v>
      </c>
      <c r="I63" s="5" t="s">
        <v>8</v>
      </c>
      <c r="J63" s="5" t="s">
        <v>9</v>
      </c>
      <c r="K63" s="5" t="s">
        <v>10</v>
      </c>
      <c r="L63" s="5" t="s">
        <v>11</v>
      </c>
      <c r="M63" s="5" t="s">
        <v>12</v>
      </c>
      <c r="N63" s="5" t="s">
        <v>13</v>
      </c>
      <c r="O63" s="5" t="s">
        <v>14</v>
      </c>
      <c r="P63" s="5" t="s">
        <v>15</v>
      </c>
      <c r="Q63" s="5" t="s">
        <v>16</v>
      </c>
    </row>
    <row r="64" spans="2:17" ht="13" customHeight="1" x14ac:dyDescent="0.15">
      <c r="B64" s="160" t="s">
        <v>137</v>
      </c>
      <c r="C64" s="156" t="s">
        <v>17</v>
      </c>
      <c r="D64" s="7" t="s">
        <v>19</v>
      </c>
      <c r="E64" s="7" t="s">
        <v>125</v>
      </c>
      <c r="F64" s="7" t="s">
        <v>21</v>
      </c>
      <c r="G64" s="188">
        <v>0.05</v>
      </c>
      <c r="H64" s="8">
        <f t="shared" ref="H64:H78" si="16">$H$79*G64</f>
        <v>2340000</v>
      </c>
      <c r="I64" s="162">
        <v>3</v>
      </c>
      <c r="J64" s="9">
        <f t="shared" ref="J64:J72" si="17">H64/I64</f>
        <v>780000</v>
      </c>
      <c r="K64" s="163">
        <f t="shared" ref="K64:K72" si="18">J64/L64</f>
        <v>7.8</v>
      </c>
      <c r="L64" s="9">
        <v>100000</v>
      </c>
      <c r="M64" s="164">
        <v>0.3</v>
      </c>
      <c r="N64" s="9">
        <f t="shared" ref="N64:N72" si="19">J64*M64</f>
        <v>234000</v>
      </c>
      <c r="O64" s="8">
        <f t="shared" ref="O64:O72" si="20">H64*1000/N64</f>
        <v>10000</v>
      </c>
      <c r="P64" s="165">
        <v>1.1000000000000001</v>
      </c>
      <c r="Q64" s="9">
        <f t="shared" ref="Q64:Q78" si="21">N64/P64</f>
        <v>212727.27272727271</v>
      </c>
    </row>
    <row r="65" spans="2:17" ht="13" customHeight="1" x14ac:dyDescent="0.15">
      <c r="B65" s="160" t="s">
        <v>137</v>
      </c>
      <c r="C65" s="156" t="s">
        <v>17</v>
      </c>
      <c r="D65" s="7" t="s">
        <v>19</v>
      </c>
      <c r="E65" s="7" t="s">
        <v>125</v>
      </c>
      <c r="F65" s="7" t="s">
        <v>54</v>
      </c>
      <c r="G65" s="188">
        <v>0.05</v>
      </c>
      <c r="H65" s="8">
        <f t="shared" si="16"/>
        <v>2340000</v>
      </c>
      <c r="I65" s="162">
        <v>3.5</v>
      </c>
      <c r="J65" s="9">
        <f t="shared" si="17"/>
        <v>668571.42857142852</v>
      </c>
      <c r="K65" s="163">
        <f t="shared" si="18"/>
        <v>6.6857142857142851</v>
      </c>
      <c r="L65" s="9">
        <v>100000</v>
      </c>
      <c r="M65" s="164">
        <v>0.3</v>
      </c>
      <c r="N65" s="9">
        <f t="shared" si="19"/>
        <v>200571.42857142855</v>
      </c>
      <c r="O65" s="8">
        <f t="shared" si="20"/>
        <v>11666.666666666668</v>
      </c>
      <c r="P65" s="165">
        <v>1.1000000000000001</v>
      </c>
      <c r="Q65" s="9">
        <f t="shared" si="21"/>
        <v>182337.6623376623</v>
      </c>
    </row>
    <row r="66" spans="2:17" ht="13" customHeight="1" x14ac:dyDescent="0.15">
      <c r="B66" s="160" t="s">
        <v>137</v>
      </c>
      <c r="C66" s="156" t="s">
        <v>17</v>
      </c>
      <c r="D66" s="7" t="s">
        <v>19</v>
      </c>
      <c r="E66" s="7" t="s">
        <v>125</v>
      </c>
      <c r="F66" s="7" t="s">
        <v>58</v>
      </c>
      <c r="G66" s="188">
        <v>0.1</v>
      </c>
      <c r="H66" s="8">
        <f t="shared" si="16"/>
        <v>4680000</v>
      </c>
      <c r="I66" s="162">
        <v>5</v>
      </c>
      <c r="J66" s="9">
        <f t="shared" si="17"/>
        <v>936000</v>
      </c>
      <c r="K66" s="163">
        <f t="shared" si="18"/>
        <v>3.12</v>
      </c>
      <c r="L66" s="9">
        <v>300000</v>
      </c>
      <c r="M66" s="164">
        <v>0.3</v>
      </c>
      <c r="N66" s="9">
        <f t="shared" si="19"/>
        <v>280800</v>
      </c>
      <c r="O66" s="8">
        <f t="shared" si="20"/>
        <v>16666.666666666668</v>
      </c>
      <c r="P66" s="165">
        <v>1.1000000000000001</v>
      </c>
      <c r="Q66" s="9">
        <f t="shared" si="21"/>
        <v>255272.72727272726</v>
      </c>
    </row>
    <row r="67" spans="2:17" ht="13" customHeight="1" x14ac:dyDescent="0.15">
      <c r="B67" s="160" t="s">
        <v>137</v>
      </c>
      <c r="C67" s="156" t="s">
        <v>138</v>
      </c>
      <c r="D67" s="7" t="s">
        <v>19</v>
      </c>
      <c r="E67" s="7" t="s">
        <v>139</v>
      </c>
      <c r="F67" s="7" t="s">
        <v>21</v>
      </c>
      <c r="G67" s="188">
        <v>0.15</v>
      </c>
      <c r="H67" s="8">
        <f t="shared" si="16"/>
        <v>7020000</v>
      </c>
      <c r="I67" s="162">
        <v>3</v>
      </c>
      <c r="J67" s="9">
        <f t="shared" si="17"/>
        <v>2340000</v>
      </c>
      <c r="K67" s="163">
        <f t="shared" si="18"/>
        <v>15.6</v>
      </c>
      <c r="L67" s="9">
        <v>150000</v>
      </c>
      <c r="M67" s="164">
        <v>0.3</v>
      </c>
      <c r="N67" s="9">
        <f t="shared" si="19"/>
        <v>702000</v>
      </c>
      <c r="O67" s="8">
        <f t="shared" si="20"/>
        <v>10000</v>
      </c>
      <c r="P67" s="165">
        <v>1.1000000000000001</v>
      </c>
      <c r="Q67" s="9">
        <f t="shared" si="21"/>
        <v>638181.81818181812</v>
      </c>
    </row>
    <row r="68" spans="2:17" ht="13" customHeight="1" x14ac:dyDescent="0.15">
      <c r="B68" s="160" t="s">
        <v>137</v>
      </c>
      <c r="C68" s="156" t="s">
        <v>95</v>
      </c>
      <c r="D68" s="7" t="s">
        <v>19</v>
      </c>
      <c r="E68" s="7" t="s">
        <v>139</v>
      </c>
      <c r="F68" s="7" t="s">
        <v>54</v>
      </c>
      <c r="G68" s="188">
        <v>0.15</v>
      </c>
      <c r="H68" s="8">
        <f t="shared" si="16"/>
        <v>7020000</v>
      </c>
      <c r="I68" s="162">
        <v>3.5</v>
      </c>
      <c r="J68" s="9">
        <f t="shared" si="17"/>
        <v>2005714.2857142857</v>
      </c>
      <c r="K68" s="163">
        <f t="shared" si="18"/>
        <v>6.6857142857142859</v>
      </c>
      <c r="L68" s="9">
        <v>300000</v>
      </c>
      <c r="M68" s="164">
        <v>0.3</v>
      </c>
      <c r="N68" s="9">
        <f t="shared" si="19"/>
        <v>601714.28571428568</v>
      </c>
      <c r="O68" s="8">
        <f t="shared" si="20"/>
        <v>11666.666666666668</v>
      </c>
      <c r="P68" s="165">
        <v>1.1000000000000001</v>
      </c>
      <c r="Q68" s="9">
        <f t="shared" si="21"/>
        <v>547012.98701298691</v>
      </c>
    </row>
    <row r="69" spans="2:17" ht="13" customHeight="1" x14ac:dyDescent="0.15">
      <c r="B69" s="160" t="s">
        <v>137</v>
      </c>
      <c r="C69" s="156" t="s">
        <v>95</v>
      </c>
      <c r="D69" s="7" t="s">
        <v>19</v>
      </c>
      <c r="E69" s="7" t="s">
        <v>139</v>
      </c>
      <c r="F69" s="7" t="s">
        <v>58</v>
      </c>
      <c r="G69" s="188">
        <v>0.15</v>
      </c>
      <c r="H69" s="8">
        <f t="shared" si="16"/>
        <v>7020000</v>
      </c>
      <c r="I69" s="162">
        <v>5</v>
      </c>
      <c r="J69" s="9">
        <f t="shared" si="17"/>
        <v>1404000</v>
      </c>
      <c r="K69" s="163">
        <f t="shared" si="18"/>
        <v>4.68</v>
      </c>
      <c r="L69" s="9">
        <v>300000</v>
      </c>
      <c r="M69" s="164">
        <v>0.3</v>
      </c>
      <c r="N69" s="9">
        <f t="shared" si="19"/>
        <v>421200</v>
      </c>
      <c r="O69" s="8">
        <f t="shared" si="20"/>
        <v>16666.666666666668</v>
      </c>
      <c r="P69" s="165">
        <v>1.1000000000000001</v>
      </c>
      <c r="Q69" s="9">
        <f t="shared" si="21"/>
        <v>382909.09090909088</v>
      </c>
    </row>
    <row r="70" spans="2:17" ht="13" customHeight="1" x14ac:dyDescent="0.15">
      <c r="B70" s="160" t="s">
        <v>120</v>
      </c>
      <c r="C70" s="156" t="s">
        <v>95</v>
      </c>
      <c r="D70" s="7" t="s">
        <v>19</v>
      </c>
      <c r="E70" s="7" t="s">
        <v>143</v>
      </c>
      <c r="F70" s="7" t="s">
        <v>21</v>
      </c>
      <c r="G70" s="188">
        <v>0.1</v>
      </c>
      <c r="H70" s="8">
        <f t="shared" si="16"/>
        <v>4680000</v>
      </c>
      <c r="I70" s="162">
        <v>3</v>
      </c>
      <c r="J70" s="9">
        <f t="shared" si="17"/>
        <v>1560000</v>
      </c>
      <c r="K70" s="163">
        <f t="shared" si="18"/>
        <v>5.2</v>
      </c>
      <c r="L70" s="9">
        <v>300000</v>
      </c>
      <c r="M70" s="164">
        <v>0.3</v>
      </c>
      <c r="N70" s="9">
        <f t="shared" si="19"/>
        <v>468000</v>
      </c>
      <c r="O70" s="8">
        <f t="shared" si="20"/>
        <v>10000</v>
      </c>
      <c r="P70" s="165">
        <v>1.1000000000000001</v>
      </c>
      <c r="Q70" s="9">
        <f t="shared" si="21"/>
        <v>425454.54545454541</v>
      </c>
    </row>
    <row r="71" spans="2:17" ht="13" customHeight="1" x14ac:dyDescent="0.15">
      <c r="B71" s="160" t="s">
        <v>120</v>
      </c>
      <c r="C71" s="156" t="s">
        <v>95</v>
      </c>
      <c r="D71" s="7" t="s">
        <v>19</v>
      </c>
      <c r="E71" s="7" t="s">
        <v>143</v>
      </c>
      <c r="F71" s="7" t="s">
        <v>54</v>
      </c>
      <c r="G71" s="188">
        <v>0.1</v>
      </c>
      <c r="H71" s="8">
        <f t="shared" si="16"/>
        <v>4680000</v>
      </c>
      <c r="I71" s="162">
        <v>3.5</v>
      </c>
      <c r="J71" s="9">
        <f t="shared" si="17"/>
        <v>1337142.857142857</v>
      </c>
      <c r="K71" s="163">
        <f t="shared" si="18"/>
        <v>4.4571428571428564</v>
      </c>
      <c r="L71" s="9">
        <v>300000</v>
      </c>
      <c r="M71" s="164">
        <v>0.3</v>
      </c>
      <c r="N71" s="9">
        <f t="shared" si="19"/>
        <v>401142.8571428571</v>
      </c>
      <c r="O71" s="8">
        <f t="shared" si="20"/>
        <v>11666.666666666668</v>
      </c>
      <c r="P71" s="165">
        <v>1.1000000000000001</v>
      </c>
      <c r="Q71" s="9">
        <f t="shared" si="21"/>
        <v>364675.32467532461</v>
      </c>
    </row>
    <row r="72" spans="2:17" ht="13" customHeight="1" x14ac:dyDescent="0.15">
      <c r="B72" s="160" t="s">
        <v>120</v>
      </c>
      <c r="C72" s="156" t="s">
        <v>95</v>
      </c>
      <c r="D72" s="7" t="s">
        <v>19</v>
      </c>
      <c r="E72" s="7" t="s">
        <v>143</v>
      </c>
      <c r="F72" s="7" t="s">
        <v>58</v>
      </c>
      <c r="G72" s="188">
        <v>0.1</v>
      </c>
      <c r="H72" s="8">
        <f t="shared" si="16"/>
        <v>4680000</v>
      </c>
      <c r="I72" s="162">
        <v>5</v>
      </c>
      <c r="J72" s="9">
        <f t="shared" si="17"/>
        <v>936000</v>
      </c>
      <c r="K72" s="163">
        <f t="shared" si="18"/>
        <v>3.12</v>
      </c>
      <c r="L72" s="9">
        <v>300000</v>
      </c>
      <c r="M72" s="164">
        <v>0.3</v>
      </c>
      <c r="N72" s="9">
        <f t="shared" si="19"/>
        <v>280800</v>
      </c>
      <c r="O72" s="8">
        <f t="shared" si="20"/>
        <v>16666.666666666668</v>
      </c>
      <c r="P72" s="165">
        <v>1.1000000000000001</v>
      </c>
      <c r="Q72" s="9">
        <f t="shared" si="21"/>
        <v>255272.72727272726</v>
      </c>
    </row>
    <row r="73" spans="2:17" ht="13" customHeight="1" x14ac:dyDescent="0.15">
      <c r="B73" s="160" t="s">
        <v>137</v>
      </c>
      <c r="C73" s="156" t="s">
        <v>116</v>
      </c>
      <c r="D73" s="7" t="s">
        <v>22</v>
      </c>
      <c r="E73" s="7" t="s">
        <v>125</v>
      </c>
      <c r="F73" s="7" t="s">
        <v>21</v>
      </c>
      <c r="G73" s="189">
        <v>0.01</v>
      </c>
      <c r="H73" s="8">
        <f t="shared" si="16"/>
        <v>468000</v>
      </c>
      <c r="I73" s="179"/>
      <c r="J73" s="179"/>
      <c r="K73" s="179"/>
      <c r="L73" s="179"/>
      <c r="M73" s="179"/>
      <c r="N73" s="9">
        <f t="shared" ref="N73:N78" si="22">H73/O73*1000</f>
        <v>1872000</v>
      </c>
      <c r="O73" s="8">
        <v>250</v>
      </c>
      <c r="P73" s="165">
        <v>1.5</v>
      </c>
      <c r="Q73" s="9">
        <f t="shared" si="21"/>
        <v>1248000</v>
      </c>
    </row>
    <row r="74" spans="2:17" ht="13" customHeight="1" x14ac:dyDescent="0.15">
      <c r="B74" s="160" t="s">
        <v>137</v>
      </c>
      <c r="C74" s="156" t="s">
        <v>117</v>
      </c>
      <c r="D74" s="7" t="s">
        <v>22</v>
      </c>
      <c r="E74" s="7" t="s">
        <v>125</v>
      </c>
      <c r="F74" s="7" t="s">
        <v>54</v>
      </c>
      <c r="G74" s="189">
        <v>0.01</v>
      </c>
      <c r="H74" s="8">
        <f t="shared" si="16"/>
        <v>468000</v>
      </c>
      <c r="I74" s="179"/>
      <c r="J74" s="179"/>
      <c r="K74" s="179"/>
      <c r="L74" s="179"/>
      <c r="M74" s="179"/>
      <c r="N74" s="9">
        <f t="shared" si="22"/>
        <v>1560000</v>
      </c>
      <c r="O74" s="8">
        <v>300</v>
      </c>
      <c r="P74" s="165">
        <v>1.5</v>
      </c>
      <c r="Q74" s="9">
        <f t="shared" si="21"/>
        <v>1040000</v>
      </c>
    </row>
    <row r="75" spans="2:17" ht="13" customHeight="1" x14ac:dyDescent="0.15">
      <c r="B75" s="160" t="s">
        <v>137</v>
      </c>
      <c r="C75" s="156" t="s">
        <v>118</v>
      </c>
      <c r="D75" s="7" t="s">
        <v>22</v>
      </c>
      <c r="E75" s="7" t="s">
        <v>125</v>
      </c>
      <c r="F75" s="7" t="s">
        <v>58</v>
      </c>
      <c r="G75" s="189">
        <v>0.01</v>
      </c>
      <c r="H75" s="8">
        <f t="shared" si="16"/>
        <v>468000</v>
      </c>
      <c r="I75" s="179"/>
      <c r="J75" s="179"/>
      <c r="K75" s="179"/>
      <c r="L75" s="179"/>
      <c r="M75" s="179"/>
      <c r="N75" s="9">
        <f t="shared" si="22"/>
        <v>2340000</v>
      </c>
      <c r="O75" s="8">
        <v>200</v>
      </c>
      <c r="P75" s="165">
        <v>1.5</v>
      </c>
      <c r="Q75" s="9">
        <f t="shared" si="21"/>
        <v>1560000</v>
      </c>
    </row>
    <row r="76" spans="2:17" ht="13" customHeight="1" x14ac:dyDescent="0.15">
      <c r="B76" s="160" t="s">
        <v>120</v>
      </c>
      <c r="C76" s="156" t="s">
        <v>116</v>
      </c>
      <c r="D76" s="7" t="s">
        <v>22</v>
      </c>
      <c r="E76" s="7" t="s">
        <v>143</v>
      </c>
      <c r="F76" s="7" t="s">
        <v>21</v>
      </c>
      <c r="G76" s="189">
        <v>0.01</v>
      </c>
      <c r="H76" s="8">
        <f t="shared" si="16"/>
        <v>468000</v>
      </c>
      <c r="I76" s="179"/>
      <c r="J76" s="179"/>
      <c r="K76" s="179"/>
      <c r="L76" s="179"/>
      <c r="M76" s="179"/>
      <c r="N76" s="9">
        <f t="shared" si="22"/>
        <v>1872000</v>
      </c>
      <c r="O76" s="8">
        <v>250</v>
      </c>
      <c r="P76" s="165">
        <v>1.5</v>
      </c>
      <c r="Q76" s="9">
        <f t="shared" si="21"/>
        <v>1248000</v>
      </c>
    </row>
    <row r="77" spans="2:17" ht="13" customHeight="1" x14ac:dyDescent="0.15">
      <c r="B77" s="160" t="s">
        <v>120</v>
      </c>
      <c r="C77" s="156" t="s">
        <v>117</v>
      </c>
      <c r="D77" s="7" t="s">
        <v>22</v>
      </c>
      <c r="E77" s="7" t="s">
        <v>143</v>
      </c>
      <c r="F77" s="7" t="s">
        <v>54</v>
      </c>
      <c r="G77" s="189">
        <v>0.01</v>
      </c>
      <c r="H77" s="8">
        <f t="shared" si="16"/>
        <v>468000</v>
      </c>
      <c r="I77" s="179"/>
      <c r="J77" s="179"/>
      <c r="K77" s="179"/>
      <c r="L77" s="179"/>
      <c r="M77" s="179"/>
      <c r="N77" s="9">
        <f t="shared" si="22"/>
        <v>1560000</v>
      </c>
      <c r="O77" s="8">
        <v>300</v>
      </c>
      <c r="P77" s="165">
        <v>1.5</v>
      </c>
      <c r="Q77" s="9">
        <f t="shared" si="21"/>
        <v>1040000</v>
      </c>
    </row>
    <row r="78" spans="2:17" ht="13" customHeight="1" x14ac:dyDescent="0.15">
      <c r="B78" s="160" t="s">
        <v>120</v>
      </c>
      <c r="C78" s="156" t="s">
        <v>118</v>
      </c>
      <c r="D78" s="7" t="s">
        <v>22</v>
      </c>
      <c r="E78" s="7" t="s">
        <v>143</v>
      </c>
      <c r="F78" s="7" t="s">
        <v>58</v>
      </c>
      <c r="G78" s="189">
        <v>0.01</v>
      </c>
      <c r="H78" s="8">
        <f t="shared" si="16"/>
        <v>468000</v>
      </c>
      <c r="I78" s="179"/>
      <c r="J78" s="179"/>
      <c r="K78" s="179"/>
      <c r="L78" s="179"/>
      <c r="M78" s="179"/>
      <c r="N78" s="9">
        <f t="shared" si="22"/>
        <v>2340000</v>
      </c>
      <c r="O78" s="8">
        <v>200</v>
      </c>
      <c r="P78" s="165">
        <v>1.5</v>
      </c>
      <c r="Q78" s="9">
        <f t="shared" si="21"/>
        <v>1560000</v>
      </c>
    </row>
    <row r="79" spans="2:17" ht="13" customHeight="1" x14ac:dyDescent="0.15">
      <c r="B79" s="11" t="s">
        <v>27</v>
      </c>
      <c r="C79" s="12"/>
      <c r="D79" s="12"/>
      <c r="E79" s="12"/>
      <c r="F79" s="12"/>
      <c r="G79" s="182">
        <f>SUM(G62:G77)</f>
        <v>1</v>
      </c>
      <c r="H79" s="183">
        <v>46800000</v>
      </c>
      <c r="I79" s="12"/>
      <c r="J79" s="15">
        <f>SUM(J62:J77)</f>
        <v>11967428.571428571</v>
      </c>
      <c r="K79" s="15">
        <f>SUM(K62:K77)</f>
        <v>57.348571428571425</v>
      </c>
      <c r="L79" s="12"/>
      <c r="M79" s="12"/>
      <c r="N79" s="15">
        <f>SUM(N62:N77)</f>
        <v>12794228.571428571</v>
      </c>
      <c r="O79" s="12"/>
      <c r="P79" s="12"/>
      <c r="Q79" s="15">
        <f>SUM(Q62:Q77)</f>
        <v>9399844.1558441557</v>
      </c>
    </row>
    <row r="80" spans="2:17" ht="13" customHeight="1" x14ac:dyDescent="0.15">
      <c r="B80" s="10" t="s">
        <v>28</v>
      </c>
    </row>
    <row r="81" spans="2:17" ht="13" customHeight="1" x14ac:dyDescent="0.15">
      <c r="B81" s="184" t="s">
        <v>144</v>
      </c>
      <c r="C81" s="184"/>
      <c r="D81" s="184"/>
      <c r="E81" s="184"/>
      <c r="F81" s="184"/>
      <c r="G81" s="184"/>
      <c r="H81" s="184"/>
      <c r="I81" s="184"/>
      <c r="J81" s="184"/>
      <c r="K81" s="184"/>
      <c r="L81" s="184"/>
      <c r="M81" s="184"/>
      <c r="N81" s="184"/>
      <c r="O81" s="184"/>
      <c r="P81" s="184"/>
      <c r="Q81" s="184"/>
    </row>
    <row r="82" spans="2:17" ht="13" customHeight="1" x14ac:dyDescent="0.15">
      <c r="B82" s="184" t="s">
        <v>145</v>
      </c>
      <c r="C82" s="184"/>
      <c r="D82" s="184"/>
      <c r="E82" s="184"/>
      <c r="F82" s="184"/>
      <c r="G82" s="184"/>
      <c r="H82" s="184"/>
      <c r="I82" s="184"/>
      <c r="J82" s="184"/>
      <c r="K82" s="184"/>
      <c r="L82" s="184"/>
      <c r="M82" s="184"/>
      <c r="N82" s="184"/>
      <c r="O82" s="184"/>
      <c r="P82" s="184"/>
      <c r="Q82" s="184"/>
    </row>
    <row r="84" spans="2:17" ht="13" customHeight="1" x14ac:dyDescent="0.15">
      <c r="B84" s="190"/>
    </row>
  </sheetData>
  <phoneticPr fontId="26"/>
  <conditionalFormatting sqref="G5:G15 G42:G44 G51:G55 G73:G78">
    <cfRule type="colorScale" priority="2">
      <colorScale>
        <cfvo type="min"/>
        <cfvo type="percentile" val="50"/>
        <cfvo type="max"/>
        <color rgb="FFE67C73"/>
        <color rgb="FFFFFFFF"/>
        <color rgb="FF57BB8A"/>
      </colorScale>
    </cfRule>
  </conditionalFormatting>
  <conditionalFormatting sqref="G24:G33 G42:G55 G64:G78">
    <cfRule type="colorScale" priority="1">
      <colorScale>
        <cfvo type="min"/>
        <cfvo type="percentile" val="50"/>
        <cfvo type="max"/>
        <color rgb="FFE67C73"/>
        <color rgb="FFFFFFFF"/>
        <color rgb="FF57BB8A"/>
      </colorScale>
    </cfRule>
  </conditionalFormatting>
  <dataValidations count="4">
    <dataValidation type="list" allowBlank="1" showErrorMessage="1" sqref="B5:B15 B24:B33 B42:B55 B64:B78" xr:uid="{00000000-0002-0000-0300-000000000000}">
      <formula1>"シャントリ,アウトバス,合計"</formula1>
    </dataValidation>
    <dataValidation type="list" allowBlank="1" showErrorMessage="1" sqref="D5:D15 D24:D33 D42:D55 D64:D78" xr:uid="{00000000-0002-0000-0300-000001000000}">
      <formula1>"配信無,配信有,広告配信"</formula1>
    </dataValidation>
    <dataValidation type="list" allowBlank="1" showErrorMessage="1" sqref="E5:E15 E24:E33 E42:E55 E64:E78" xr:uid="{00000000-0002-0000-0300-000002000000}">
      <formula1>"イノベーター,アーリーアダプター,アーリーマジョリティ,レイトマジョリティ"</formula1>
    </dataValidation>
    <dataValidation type="list" allowBlank="1" showErrorMessage="1" sqref="F5:F9 F11:F15 F24:F33 F42:F55 F64:F78" xr:uid="{00000000-0002-0000-0300-000003000000}">
      <formula1>"X,IG Feed,IG Reel,TikTok,YouTube"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U16"/>
  <sheetViews>
    <sheetView showGridLines="0" workbookViewId="0"/>
  </sheetViews>
  <sheetFormatPr baseColWidth="10" defaultColWidth="12.6640625" defaultRowHeight="15.75" customHeight="1" x14ac:dyDescent="0.15"/>
  <cols>
    <col min="1" max="1" width="3.6640625" customWidth="1"/>
    <col min="2" max="2" width="18" hidden="1" customWidth="1"/>
    <col min="5" max="5" width="13.83203125" customWidth="1"/>
    <col min="6" max="6" width="13.6640625" customWidth="1"/>
    <col min="7" max="12" width="13.83203125" customWidth="1"/>
    <col min="13" max="13" width="18.6640625" customWidth="1"/>
    <col min="14" max="14" width="21" customWidth="1"/>
    <col min="15" max="19" width="13.83203125" customWidth="1"/>
  </cols>
  <sheetData>
    <row r="2" spans="2:21" ht="15.75" customHeight="1" x14ac:dyDescent="0.15">
      <c r="C2" s="154"/>
      <c r="D2" s="191"/>
      <c r="E2" s="192" t="s">
        <v>146</v>
      </c>
      <c r="F2" s="193" t="s">
        <v>147</v>
      </c>
      <c r="G2" s="194" t="s">
        <v>148</v>
      </c>
      <c r="H2" s="192" t="s">
        <v>149</v>
      </c>
      <c r="I2" s="192" t="s">
        <v>150</v>
      </c>
      <c r="J2" s="192" t="s">
        <v>79</v>
      </c>
      <c r="K2" s="192" t="s">
        <v>51</v>
      </c>
      <c r="L2" s="192" t="s">
        <v>60</v>
      </c>
      <c r="M2" s="192" t="s">
        <v>70</v>
      </c>
      <c r="N2" s="192" t="s">
        <v>72</v>
      </c>
      <c r="O2" s="195" t="s">
        <v>77</v>
      </c>
      <c r="P2" s="195" t="s">
        <v>151</v>
      </c>
      <c r="Q2" s="195" t="s">
        <v>146</v>
      </c>
      <c r="R2" s="195" t="s">
        <v>147</v>
      </c>
    </row>
    <row r="3" spans="2:21" ht="15.75" customHeight="1" x14ac:dyDescent="0.15">
      <c r="C3" s="196" t="s">
        <v>152</v>
      </c>
      <c r="D3" s="197" t="s">
        <v>120</v>
      </c>
      <c r="E3" s="198" t="s">
        <v>153</v>
      </c>
      <c r="F3" s="199" t="s">
        <v>154</v>
      </c>
      <c r="G3" s="200"/>
      <c r="H3" s="201" t="s">
        <v>155</v>
      </c>
      <c r="I3" s="202"/>
      <c r="J3" s="202" t="s">
        <v>156</v>
      </c>
      <c r="K3" s="203" t="s">
        <v>157</v>
      </c>
      <c r="L3" s="204"/>
      <c r="M3" s="202" t="s">
        <v>156</v>
      </c>
      <c r="N3" s="205" t="s">
        <v>156</v>
      </c>
      <c r="O3" s="206"/>
      <c r="P3" s="207"/>
      <c r="Q3" s="208"/>
      <c r="R3" s="209"/>
      <c r="S3" s="210"/>
      <c r="T3" s="210"/>
      <c r="U3" s="210"/>
    </row>
    <row r="4" spans="2:21" ht="15.75" customHeight="1" x14ac:dyDescent="0.15">
      <c r="C4" s="211"/>
      <c r="D4" s="197" t="s">
        <v>137</v>
      </c>
      <c r="E4" s="212"/>
      <c r="F4" s="199"/>
      <c r="G4" s="200"/>
      <c r="H4" s="213"/>
      <c r="I4" s="214"/>
      <c r="J4" s="200" t="s">
        <v>153</v>
      </c>
      <c r="K4" s="215" t="s">
        <v>158</v>
      </c>
      <c r="L4" s="204"/>
      <c r="M4" s="202"/>
      <c r="N4" s="216"/>
      <c r="O4" s="217"/>
      <c r="P4" s="218"/>
      <c r="Q4" s="219"/>
      <c r="R4" s="220"/>
      <c r="S4" s="210"/>
      <c r="T4" s="210"/>
      <c r="U4" s="210"/>
    </row>
    <row r="5" spans="2:21" ht="15.75" customHeight="1" x14ac:dyDescent="0.15">
      <c r="C5" s="221" t="s">
        <v>159</v>
      </c>
      <c r="D5" s="197"/>
      <c r="E5" s="222" t="s">
        <v>122</v>
      </c>
      <c r="F5" s="223" t="s">
        <v>125</v>
      </c>
      <c r="G5" s="224"/>
      <c r="H5" s="225" t="s">
        <v>125</v>
      </c>
      <c r="I5" s="226"/>
      <c r="J5" s="227" t="s">
        <v>160</v>
      </c>
      <c r="K5" s="228" t="s">
        <v>161</v>
      </c>
      <c r="L5" s="229"/>
      <c r="M5" s="224"/>
      <c r="N5" s="230" t="s">
        <v>143</v>
      </c>
      <c r="O5" s="227"/>
      <c r="P5" s="231" t="s">
        <v>162</v>
      </c>
      <c r="Q5" s="231"/>
      <c r="R5" s="232"/>
      <c r="S5" s="210"/>
      <c r="T5" s="210"/>
      <c r="U5" s="210"/>
    </row>
    <row r="6" spans="2:21" ht="15.75" customHeight="1" x14ac:dyDescent="0.15">
      <c r="C6" s="228" t="s">
        <v>163</v>
      </c>
      <c r="D6" s="197"/>
      <c r="E6" s="233" t="s">
        <v>164</v>
      </c>
      <c r="F6" s="234" t="s">
        <v>165</v>
      </c>
      <c r="G6" s="235"/>
      <c r="H6" s="225" t="s">
        <v>166</v>
      </c>
      <c r="I6" s="236"/>
      <c r="J6" s="224" t="s">
        <v>164</v>
      </c>
      <c r="K6" s="228" t="s">
        <v>165</v>
      </c>
      <c r="L6" s="237" t="s">
        <v>167</v>
      </c>
      <c r="M6" s="238"/>
      <c r="N6" s="222" t="s">
        <v>168</v>
      </c>
      <c r="O6" s="229"/>
      <c r="P6" s="239"/>
      <c r="Q6" s="240"/>
      <c r="R6" s="232"/>
    </row>
    <row r="7" spans="2:21" ht="15.75" customHeight="1" x14ac:dyDescent="0.15">
      <c r="C7" s="228" t="s">
        <v>169</v>
      </c>
      <c r="D7" s="197"/>
      <c r="E7" s="241" t="s">
        <v>170</v>
      </c>
      <c r="F7" s="242" t="s">
        <v>171</v>
      </c>
      <c r="G7" s="243"/>
      <c r="H7" s="244" t="s">
        <v>171</v>
      </c>
      <c r="I7" s="197"/>
      <c r="J7" s="241" t="s">
        <v>172</v>
      </c>
      <c r="K7" s="233" t="s">
        <v>171</v>
      </c>
      <c r="L7" s="245" t="s">
        <v>173</v>
      </c>
      <c r="M7" s="224"/>
      <c r="N7" s="245" t="s">
        <v>173</v>
      </c>
      <c r="O7" s="246"/>
      <c r="P7" s="247"/>
      <c r="Q7" s="248"/>
      <c r="R7" s="249"/>
    </row>
    <row r="8" spans="2:21" ht="15.75" customHeight="1" x14ac:dyDescent="0.15">
      <c r="B8" s="32"/>
      <c r="C8" s="228" t="s">
        <v>174</v>
      </c>
      <c r="D8" s="197"/>
      <c r="E8" s="250" t="s">
        <v>175</v>
      </c>
      <c r="F8" s="251"/>
      <c r="G8" s="250"/>
      <c r="H8" s="252"/>
      <c r="I8" s="252"/>
      <c r="J8" s="252"/>
      <c r="K8" s="252"/>
      <c r="L8" s="250" t="s">
        <v>176</v>
      </c>
      <c r="M8" s="250"/>
      <c r="N8" s="252"/>
      <c r="O8" s="252"/>
      <c r="P8" s="252"/>
      <c r="Q8" s="250" t="s">
        <v>177</v>
      </c>
      <c r="R8" s="253"/>
    </row>
    <row r="9" spans="2:21" ht="15.75" customHeight="1" x14ac:dyDescent="0.15">
      <c r="B9" s="32"/>
      <c r="C9" s="196"/>
      <c r="D9" s="429" t="s">
        <v>120</v>
      </c>
      <c r="E9" s="225"/>
      <c r="F9" s="254"/>
      <c r="G9" s="225"/>
      <c r="H9" s="255" t="s">
        <v>178</v>
      </c>
      <c r="I9" s="255"/>
      <c r="J9" s="255"/>
      <c r="K9" s="255"/>
      <c r="L9" s="255"/>
      <c r="M9" s="255"/>
      <c r="N9" s="255"/>
      <c r="O9" s="255"/>
      <c r="P9" s="255"/>
      <c r="Q9" s="255"/>
      <c r="R9" s="256"/>
    </row>
    <row r="10" spans="2:21" ht="15.75" customHeight="1" x14ac:dyDescent="0.15">
      <c r="B10" s="32"/>
      <c r="C10" s="257"/>
      <c r="D10" s="431"/>
      <c r="E10" s="252"/>
      <c r="F10" s="258"/>
      <c r="G10" s="252"/>
      <c r="H10" s="252"/>
      <c r="I10" s="252"/>
      <c r="J10" s="252"/>
      <c r="K10" s="259" t="s">
        <v>179</v>
      </c>
      <c r="L10" s="259"/>
      <c r="M10" s="259"/>
      <c r="N10" s="259"/>
      <c r="O10" s="259"/>
      <c r="P10" s="259"/>
      <c r="Q10" s="259"/>
      <c r="R10" s="260"/>
    </row>
    <row r="11" spans="2:21" ht="15.75" customHeight="1" x14ac:dyDescent="0.15">
      <c r="B11" s="261" t="s">
        <v>180</v>
      </c>
      <c r="C11" s="257" t="s">
        <v>50</v>
      </c>
      <c r="D11" s="430"/>
      <c r="E11" s="262"/>
      <c r="F11" s="263"/>
      <c r="G11" s="262"/>
      <c r="H11" s="262"/>
      <c r="I11" s="262"/>
      <c r="J11" s="262"/>
      <c r="K11" s="262"/>
      <c r="L11" s="262"/>
      <c r="M11" s="262"/>
      <c r="N11" s="262"/>
      <c r="O11" s="262"/>
      <c r="P11" s="262"/>
      <c r="Q11" s="264" t="s">
        <v>181</v>
      </c>
      <c r="R11" s="265"/>
    </row>
    <row r="12" spans="2:21" ht="15.75" customHeight="1" x14ac:dyDescent="0.15">
      <c r="B12" s="32"/>
      <c r="C12" s="257"/>
      <c r="D12" s="429" t="s">
        <v>137</v>
      </c>
      <c r="E12" s="252"/>
      <c r="F12" s="258"/>
      <c r="G12" s="252"/>
      <c r="H12" s="252"/>
      <c r="I12" s="252"/>
      <c r="J12" s="266" t="s">
        <v>182</v>
      </c>
      <c r="K12" s="266"/>
      <c r="L12" s="266"/>
      <c r="M12" s="266"/>
      <c r="N12" s="266"/>
      <c r="O12" s="266"/>
      <c r="P12" s="266"/>
      <c r="Q12" s="266"/>
      <c r="R12" s="267"/>
    </row>
    <row r="13" spans="2:21" ht="15.75" customHeight="1" x14ac:dyDescent="0.15">
      <c r="B13" s="32"/>
      <c r="C13" s="211"/>
      <c r="D13" s="430"/>
      <c r="E13" s="262"/>
      <c r="F13" s="263"/>
      <c r="G13" s="262"/>
      <c r="H13" s="262"/>
      <c r="I13" s="262"/>
      <c r="J13" s="262"/>
      <c r="K13" s="268" t="s">
        <v>183</v>
      </c>
      <c r="L13" s="268"/>
      <c r="M13" s="268"/>
      <c r="N13" s="268"/>
      <c r="O13" s="268"/>
      <c r="P13" s="268"/>
      <c r="Q13" s="268"/>
      <c r="R13" s="269"/>
    </row>
    <row r="14" spans="2:21" ht="15.75" customHeight="1" x14ac:dyDescent="0.15">
      <c r="B14" s="32"/>
      <c r="C14" s="228" t="s">
        <v>184</v>
      </c>
      <c r="D14" s="197"/>
      <c r="E14" s="270" t="s">
        <v>185</v>
      </c>
      <c r="F14" s="271"/>
      <c r="G14" s="272"/>
      <c r="H14" s="272"/>
      <c r="I14" s="272"/>
      <c r="J14" s="273" t="s">
        <v>186</v>
      </c>
      <c r="K14" s="272"/>
      <c r="L14" s="272"/>
      <c r="M14" s="273" t="s">
        <v>187</v>
      </c>
      <c r="N14" s="273" t="s">
        <v>188</v>
      </c>
      <c r="O14" s="273" t="s">
        <v>188</v>
      </c>
      <c r="P14" s="272"/>
      <c r="Q14" s="272"/>
      <c r="R14" s="274"/>
    </row>
    <row r="15" spans="2:21" ht="15.75" customHeight="1" x14ac:dyDescent="0.15">
      <c r="C15" s="228" t="s">
        <v>189</v>
      </c>
      <c r="D15" s="197"/>
      <c r="E15" s="275"/>
      <c r="F15" s="276"/>
      <c r="G15" s="277"/>
      <c r="H15" s="277"/>
      <c r="I15" s="277"/>
      <c r="J15" s="277"/>
      <c r="K15" s="277"/>
      <c r="L15" s="277"/>
      <c r="M15" s="277"/>
      <c r="N15" s="277"/>
      <c r="O15" s="277"/>
      <c r="P15" s="277"/>
      <c r="Q15" s="277"/>
      <c r="R15" s="278"/>
    </row>
    <row r="16" spans="2:21" ht="15.75" customHeight="1" x14ac:dyDescent="0.15">
      <c r="C16" s="228" t="s">
        <v>190</v>
      </c>
      <c r="D16" s="197"/>
      <c r="E16" s="279"/>
      <c r="F16" s="280">
        <v>17500000</v>
      </c>
      <c r="G16" s="281"/>
      <c r="H16" s="281"/>
      <c r="I16" s="281"/>
      <c r="J16" s="281"/>
      <c r="K16" s="281"/>
      <c r="L16" s="281"/>
      <c r="M16" s="281"/>
      <c r="N16" s="281"/>
      <c r="O16" s="281"/>
      <c r="P16" s="281"/>
      <c r="Q16" s="281"/>
      <c r="R16" s="282">
        <v>116800000</v>
      </c>
    </row>
  </sheetData>
  <mergeCells count="2">
    <mergeCell ref="D12:D13"/>
    <mergeCell ref="D9:D11"/>
  </mergeCells>
  <phoneticPr fontId="2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pageSetUpPr fitToPage="1"/>
  </sheetPr>
  <dimension ref="A1:AD340"/>
  <sheetViews>
    <sheetView showGridLines="0" workbookViewId="0">
      <pane xSplit="8" ySplit="1" topLeftCell="I2" activePane="bottomRight" state="frozen"/>
      <selection pane="topRight" activeCell="I1" sqref="I1"/>
      <selection pane="bottomLeft" activeCell="A2" sqref="A2"/>
      <selection pane="bottomRight" activeCell="I2" sqref="I2"/>
    </sheetView>
  </sheetViews>
  <sheetFormatPr baseColWidth="10" defaultColWidth="12.6640625" defaultRowHeight="15.75" customHeight="1" x14ac:dyDescent="0.15"/>
  <cols>
    <col min="1" max="1" width="3.6640625" customWidth="1"/>
    <col min="2" max="3" width="6.1640625" customWidth="1"/>
    <col min="4" max="4" width="47.6640625" customWidth="1"/>
    <col min="5" max="5" width="11.83203125" customWidth="1"/>
    <col min="6" max="6" width="16" customWidth="1"/>
    <col min="8" max="8" width="14.6640625" customWidth="1"/>
    <col min="10" max="10" width="13.1640625" customWidth="1"/>
    <col min="11" max="11" width="9.33203125" customWidth="1"/>
    <col min="12" max="12" width="14.33203125" customWidth="1"/>
    <col min="14" max="14" width="14.33203125" customWidth="1"/>
    <col min="20" max="30" width="14.6640625" customWidth="1"/>
  </cols>
  <sheetData>
    <row r="1" spans="1:30" ht="30.75" customHeight="1" x14ac:dyDescent="0.15">
      <c r="A1" s="283"/>
      <c r="B1" s="284"/>
      <c r="C1" s="284"/>
      <c r="D1" s="285" t="s">
        <v>191</v>
      </c>
      <c r="E1" s="285" t="s">
        <v>29</v>
      </c>
      <c r="F1" s="285" t="s">
        <v>192</v>
      </c>
      <c r="G1" s="285" t="s">
        <v>3</v>
      </c>
      <c r="H1" s="285" t="s">
        <v>193</v>
      </c>
      <c r="I1" s="285" t="s">
        <v>6</v>
      </c>
      <c r="J1" s="285" t="s">
        <v>7</v>
      </c>
      <c r="K1" s="285" t="s">
        <v>8</v>
      </c>
      <c r="L1" s="286" t="s">
        <v>9</v>
      </c>
      <c r="M1" s="286" t="s">
        <v>10</v>
      </c>
      <c r="N1" s="285" t="s">
        <v>11</v>
      </c>
      <c r="O1" s="285" t="s">
        <v>12</v>
      </c>
      <c r="P1" s="286" t="s">
        <v>13</v>
      </c>
      <c r="Q1" s="285" t="s">
        <v>14</v>
      </c>
      <c r="R1" s="287" t="s">
        <v>15</v>
      </c>
      <c r="S1" s="286" t="s">
        <v>16</v>
      </c>
      <c r="T1" s="286" t="s">
        <v>194</v>
      </c>
      <c r="U1" s="286" t="s">
        <v>195</v>
      </c>
      <c r="V1" s="286" t="s">
        <v>196</v>
      </c>
      <c r="W1" s="288" t="s">
        <v>197</v>
      </c>
      <c r="X1" s="286" t="s">
        <v>198</v>
      </c>
      <c r="Y1" s="288" t="s">
        <v>199</v>
      </c>
      <c r="Z1" s="286" t="s">
        <v>200</v>
      </c>
      <c r="AA1" s="286" t="s">
        <v>201</v>
      </c>
      <c r="AB1" s="289" t="s">
        <v>202</v>
      </c>
      <c r="AC1" s="289" t="s">
        <v>36</v>
      </c>
      <c r="AD1" s="289" t="s">
        <v>203</v>
      </c>
    </row>
    <row r="2" spans="1:30" ht="15.75" customHeight="1" x14ac:dyDescent="0.15">
      <c r="A2" s="290"/>
      <c r="B2" s="290"/>
      <c r="C2" s="290"/>
      <c r="D2" s="290"/>
      <c r="E2" s="290"/>
      <c r="F2" s="290"/>
      <c r="G2" s="290"/>
      <c r="H2" s="290"/>
      <c r="I2" s="290"/>
      <c r="J2" s="290"/>
      <c r="K2" s="290"/>
      <c r="L2" s="290"/>
      <c r="M2" s="290"/>
      <c r="N2" s="290"/>
      <c r="O2" s="290"/>
      <c r="P2" s="290"/>
      <c r="Q2" s="290"/>
      <c r="R2" s="290"/>
      <c r="S2" s="290"/>
      <c r="T2" s="290"/>
      <c r="U2" s="290"/>
      <c r="V2" s="290"/>
      <c r="W2" s="291"/>
      <c r="X2" s="290"/>
      <c r="Y2" s="291"/>
      <c r="Z2" s="290"/>
      <c r="AA2" s="290"/>
      <c r="AB2" s="292"/>
      <c r="AC2" s="292"/>
      <c r="AD2" s="292"/>
    </row>
    <row r="3" spans="1:30" ht="15.75" customHeight="1" x14ac:dyDescent="0.15">
      <c r="A3" s="290"/>
      <c r="B3" s="290"/>
      <c r="C3" s="290"/>
      <c r="D3" s="290"/>
      <c r="E3" s="290"/>
      <c r="F3" s="290"/>
      <c r="G3" s="290"/>
      <c r="H3" s="290"/>
      <c r="I3" s="290"/>
      <c r="J3" s="290"/>
      <c r="K3" s="290"/>
      <c r="L3" s="290"/>
      <c r="M3" s="290"/>
      <c r="N3" s="290"/>
      <c r="O3" s="290"/>
      <c r="P3" s="290"/>
      <c r="Q3" s="290"/>
      <c r="R3" s="290"/>
      <c r="S3" s="290"/>
      <c r="T3" s="290"/>
      <c r="U3" s="290"/>
      <c r="V3" s="290"/>
      <c r="W3" s="291"/>
      <c r="X3" s="290"/>
      <c r="Y3" s="291"/>
      <c r="Z3" s="290"/>
      <c r="AA3" s="290"/>
      <c r="AB3" s="292"/>
      <c r="AC3" s="292"/>
      <c r="AD3" s="292"/>
    </row>
    <row r="4" spans="1:30" ht="15.75" customHeight="1" x14ac:dyDescent="0.15">
      <c r="A4" s="290"/>
      <c r="B4" s="293" t="s">
        <v>204</v>
      </c>
      <c r="C4" s="294" t="s">
        <v>205</v>
      </c>
      <c r="D4" s="295" t="s">
        <v>206</v>
      </c>
      <c r="E4" s="296"/>
      <c r="F4" s="296"/>
      <c r="G4" s="296"/>
      <c r="H4" s="296"/>
      <c r="I4" s="296"/>
      <c r="J4" s="296"/>
      <c r="K4" s="296"/>
      <c r="L4" s="296"/>
      <c r="M4" s="296"/>
      <c r="N4" s="296"/>
      <c r="O4" s="296"/>
      <c r="P4" s="296"/>
      <c r="Q4" s="296"/>
      <c r="R4" s="296"/>
      <c r="S4" s="296"/>
      <c r="T4" s="296"/>
      <c r="U4" s="296"/>
      <c r="V4" s="296"/>
      <c r="W4" s="297"/>
      <c r="X4" s="296"/>
      <c r="Y4" s="297"/>
      <c r="Z4" s="296"/>
      <c r="AA4" s="296"/>
      <c r="AB4" s="298"/>
      <c r="AC4" s="298"/>
      <c r="AD4" s="299"/>
    </row>
    <row r="5" spans="1:30" ht="15.75" customHeight="1" x14ac:dyDescent="0.15">
      <c r="A5" s="290"/>
      <c r="B5" s="300"/>
      <c r="C5" s="300" t="s">
        <v>207</v>
      </c>
      <c r="D5" s="301" t="s">
        <v>208</v>
      </c>
      <c r="E5" s="302" t="s">
        <v>209</v>
      </c>
      <c r="F5" s="303" t="s">
        <v>210</v>
      </c>
      <c r="G5" s="303" t="s">
        <v>25</v>
      </c>
      <c r="H5" s="303" t="s">
        <v>211</v>
      </c>
      <c r="I5" s="304">
        <f>J5/$J$60</f>
        <v>0.12605042016806722</v>
      </c>
      <c r="J5" s="305">
        <v>3000000</v>
      </c>
      <c r="K5" s="306"/>
      <c r="L5" s="307"/>
      <c r="M5" s="307"/>
      <c r="N5" s="308"/>
      <c r="O5" s="309"/>
      <c r="P5" s="309"/>
      <c r="Q5" s="309"/>
      <c r="R5" s="309"/>
      <c r="S5" s="309"/>
      <c r="T5" s="306"/>
      <c r="U5" s="306"/>
      <c r="V5" s="306"/>
      <c r="W5" s="310"/>
      <c r="X5" s="306"/>
      <c r="Y5" s="310"/>
      <c r="Z5" s="306"/>
      <c r="AA5" s="306"/>
      <c r="AB5" s="311"/>
      <c r="AC5" s="311"/>
      <c r="AD5" s="311"/>
    </row>
    <row r="6" spans="1:30" ht="15.75" customHeight="1" x14ac:dyDescent="0.15">
      <c r="A6" s="290"/>
      <c r="B6" s="300"/>
      <c r="C6" s="300" t="s">
        <v>207</v>
      </c>
      <c r="D6" s="301" t="s">
        <v>212</v>
      </c>
      <c r="E6" s="302" t="s">
        <v>209</v>
      </c>
      <c r="F6" s="303" t="s">
        <v>210</v>
      </c>
      <c r="G6" s="303" t="s">
        <v>25</v>
      </c>
      <c r="H6" s="303" t="s">
        <v>75</v>
      </c>
      <c r="I6" s="304">
        <f>J6/$J$60</f>
        <v>0.33613445378151263</v>
      </c>
      <c r="J6" s="305">
        <v>8000000</v>
      </c>
      <c r="K6" s="306"/>
      <c r="L6" s="307"/>
      <c r="M6" s="307"/>
      <c r="N6" s="308"/>
      <c r="O6" s="309"/>
      <c r="P6" s="309"/>
      <c r="Q6" s="309"/>
      <c r="R6" s="309"/>
      <c r="S6" s="309"/>
      <c r="T6" s="306"/>
      <c r="U6" s="306"/>
      <c r="V6" s="306"/>
      <c r="W6" s="310"/>
      <c r="X6" s="306"/>
      <c r="Y6" s="310"/>
      <c r="Z6" s="306"/>
      <c r="AA6" s="306"/>
      <c r="AB6" s="311"/>
      <c r="AC6" s="311"/>
      <c r="AD6" s="311"/>
    </row>
    <row r="7" spans="1:30" ht="15.75" customHeight="1" x14ac:dyDescent="0.15">
      <c r="A7" s="290"/>
      <c r="B7" s="312" t="s">
        <v>213</v>
      </c>
      <c r="C7" s="300"/>
      <c r="D7" s="301" t="s">
        <v>214</v>
      </c>
      <c r="E7" s="302" t="s">
        <v>209</v>
      </c>
      <c r="F7" s="303" t="s">
        <v>210</v>
      </c>
      <c r="G7" s="303" t="s">
        <v>22</v>
      </c>
      <c r="H7" s="303" t="s">
        <v>75</v>
      </c>
      <c r="I7" s="304">
        <f>J7/$J$60</f>
        <v>1.2605042016806723E-2</v>
      </c>
      <c r="J7" s="305">
        <v>300000</v>
      </c>
      <c r="K7" s="306"/>
      <c r="L7" s="307"/>
      <c r="M7" s="307"/>
      <c r="N7" s="308"/>
      <c r="O7" s="309"/>
      <c r="P7" s="309"/>
      <c r="Q7" s="309"/>
      <c r="R7" s="309"/>
      <c r="S7" s="309"/>
      <c r="T7" s="306"/>
      <c r="U7" s="306"/>
      <c r="V7" s="306"/>
      <c r="W7" s="310"/>
      <c r="X7" s="306"/>
      <c r="Y7" s="310"/>
      <c r="Z7" s="306"/>
      <c r="AA7" s="306"/>
      <c r="AB7" s="311"/>
      <c r="AC7" s="311"/>
      <c r="AD7" s="311"/>
    </row>
    <row r="8" spans="1:30" ht="15.75" customHeight="1" x14ac:dyDescent="0.15">
      <c r="A8" s="290"/>
      <c r="B8" s="312"/>
      <c r="C8" s="300"/>
      <c r="D8" s="301"/>
      <c r="E8" s="302"/>
      <c r="F8" s="303"/>
      <c r="G8" s="303"/>
      <c r="H8" s="303"/>
      <c r="I8" s="304"/>
      <c r="J8" s="305"/>
      <c r="K8" s="306"/>
      <c r="L8" s="307"/>
      <c r="M8" s="307"/>
      <c r="N8" s="308"/>
      <c r="O8" s="309"/>
      <c r="P8" s="309"/>
      <c r="Q8" s="309"/>
      <c r="R8" s="309"/>
      <c r="S8" s="309"/>
      <c r="T8" s="306"/>
      <c r="U8" s="306"/>
      <c r="V8" s="306"/>
      <c r="W8" s="310"/>
      <c r="X8" s="306"/>
      <c r="Y8" s="310"/>
      <c r="Z8" s="306"/>
      <c r="AA8" s="306"/>
      <c r="AB8" s="311"/>
      <c r="AC8" s="311"/>
      <c r="AD8" s="311"/>
    </row>
    <row r="9" spans="1:30" ht="15.75" customHeight="1" x14ac:dyDescent="0.15">
      <c r="A9" s="290"/>
      <c r="B9" s="313"/>
      <c r="C9" s="313"/>
      <c r="D9" s="314" t="s">
        <v>27</v>
      </c>
      <c r="E9" s="315"/>
      <c r="F9" s="315"/>
      <c r="G9" s="315"/>
      <c r="H9" s="315"/>
      <c r="I9" s="316">
        <f>J9/J9</f>
        <v>1</v>
      </c>
      <c r="J9" s="317">
        <f>SUM(J5:J7)</f>
        <v>11300000</v>
      </c>
      <c r="K9" s="315"/>
      <c r="L9" s="318"/>
      <c r="M9" s="318"/>
      <c r="N9" s="318"/>
      <c r="O9" s="318"/>
      <c r="P9" s="318"/>
      <c r="Q9" s="318"/>
      <c r="R9" s="319"/>
      <c r="S9" s="318"/>
      <c r="T9" s="318"/>
      <c r="U9" s="318"/>
      <c r="V9" s="318"/>
      <c r="W9" s="320"/>
      <c r="X9" s="318"/>
      <c r="Y9" s="320"/>
      <c r="Z9" s="318"/>
      <c r="AA9" s="318"/>
      <c r="AB9" s="317"/>
      <c r="AC9" s="317"/>
      <c r="AD9" s="317"/>
    </row>
    <row r="10" spans="1:30" ht="15.75" customHeight="1" x14ac:dyDescent="0.15">
      <c r="A10" s="290"/>
      <c r="B10" s="290"/>
      <c r="C10" s="290"/>
      <c r="D10" s="290"/>
      <c r="E10" s="290"/>
      <c r="F10" s="290"/>
      <c r="G10" s="290"/>
      <c r="H10" s="290"/>
      <c r="I10" s="290"/>
      <c r="J10" s="290"/>
      <c r="K10" s="290"/>
      <c r="L10" s="290"/>
      <c r="M10" s="290"/>
      <c r="N10" s="290"/>
      <c r="O10" s="290"/>
      <c r="P10" s="290"/>
      <c r="Q10" s="290"/>
      <c r="R10" s="290"/>
      <c r="S10" s="290"/>
      <c r="T10" s="290"/>
      <c r="U10" s="290"/>
      <c r="V10" s="290"/>
      <c r="W10" s="291"/>
      <c r="X10" s="290"/>
      <c r="Y10" s="291"/>
      <c r="Z10" s="290"/>
      <c r="AA10" s="290"/>
      <c r="AB10" s="292"/>
      <c r="AC10" s="292"/>
      <c r="AD10" s="292"/>
    </row>
    <row r="11" spans="1:30" ht="15.75" customHeight="1" x14ac:dyDescent="0.15">
      <c r="A11" s="290"/>
      <c r="B11" s="290"/>
      <c r="C11" s="290"/>
      <c r="D11" s="290"/>
      <c r="E11" s="290"/>
      <c r="F11" s="290"/>
      <c r="G11" s="290"/>
      <c r="H11" s="290"/>
      <c r="I11" s="290"/>
      <c r="J11" s="290"/>
      <c r="K11" s="290"/>
      <c r="L11" s="290"/>
      <c r="M11" s="290"/>
      <c r="N11" s="290"/>
      <c r="O11" s="290"/>
      <c r="P11" s="290"/>
      <c r="Q11" s="290"/>
      <c r="R11" s="290"/>
      <c r="S11" s="290"/>
      <c r="T11" s="290"/>
      <c r="U11" s="290"/>
      <c r="V11" s="290"/>
      <c r="W11" s="291"/>
      <c r="X11" s="290"/>
      <c r="Y11" s="291"/>
      <c r="Z11" s="290"/>
      <c r="AA11" s="290"/>
      <c r="AB11" s="292"/>
      <c r="AC11" s="292"/>
      <c r="AD11" s="292"/>
    </row>
    <row r="12" spans="1:30" ht="20" customHeight="1" x14ac:dyDescent="0.2">
      <c r="A12" s="321"/>
      <c r="B12" s="322" t="s">
        <v>150</v>
      </c>
      <c r="C12" s="321"/>
      <c r="D12" s="321"/>
      <c r="E12" s="321"/>
      <c r="F12" s="321"/>
      <c r="G12" s="321"/>
      <c r="H12" s="321"/>
      <c r="I12" s="321"/>
      <c r="J12" s="321"/>
      <c r="K12" s="321"/>
      <c r="L12" s="321"/>
      <c r="M12" s="321"/>
      <c r="N12" s="321"/>
      <c r="O12" s="321"/>
      <c r="P12" s="321"/>
      <c r="Q12" s="321"/>
      <c r="R12" s="321"/>
      <c r="S12" s="321"/>
      <c r="T12" s="321"/>
      <c r="U12" s="321"/>
      <c r="V12" s="321"/>
      <c r="W12" s="323"/>
      <c r="X12" s="321"/>
      <c r="Y12" s="323"/>
      <c r="Z12" s="321"/>
      <c r="AA12" s="321"/>
      <c r="AB12" s="324"/>
      <c r="AC12" s="324"/>
      <c r="AD12" s="324"/>
    </row>
    <row r="13" spans="1:30" ht="15.75" customHeight="1" x14ac:dyDescent="0.15">
      <c r="A13" s="290"/>
      <c r="B13" s="290"/>
      <c r="C13" s="290"/>
      <c r="D13" s="290"/>
      <c r="E13" s="290"/>
      <c r="F13" s="290"/>
      <c r="G13" s="290"/>
      <c r="H13" s="290"/>
      <c r="I13" s="290"/>
      <c r="J13" s="290"/>
      <c r="K13" s="325" t="s">
        <v>215</v>
      </c>
      <c r="L13" s="290"/>
      <c r="M13" s="290"/>
      <c r="N13" s="290"/>
      <c r="O13" s="290"/>
      <c r="P13" s="290"/>
      <c r="Q13" s="290"/>
      <c r="R13" s="290"/>
      <c r="S13" s="290"/>
      <c r="T13" s="290"/>
      <c r="U13" s="290"/>
      <c r="V13" s="290"/>
      <c r="W13" s="291"/>
      <c r="X13" s="290"/>
      <c r="Y13" s="291"/>
      <c r="Z13" s="290"/>
      <c r="AA13" s="290"/>
      <c r="AB13" s="292"/>
      <c r="AC13" s="292"/>
      <c r="AD13" s="292"/>
    </row>
    <row r="14" spans="1:30" ht="15.75" customHeight="1" x14ac:dyDescent="0.15">
      <c r="A14" s="290"/>
      <c r="B14" s="293" t="s">
        <v>204</v>
      </c>
      <c r="C14" s="294" t="s">
        <v>205</v>
      </c>
      <c r="D14" s="326" t="s">
        <v>216</v>
      </c>
      <c r="E14" s="296" t="s">
        <v>217</v>
      </c>
      <c r="F14" s="296" t="s">
        <v>218</v>
      </c>
      <c r="G14" s="296"/>
      <c r="H14" s="296"/>
      <c r="I14" s="296" t="s">
        <v>219</v>
      </c>
      <c r="J14" s="296" t="s">
        <v>220</v>
      </c>
      <c r="K14" s="296"/>
      <c r="L14" s="296"/>
      <c r="M14" s="296"/>
      <c r="N14" s="296"/>
      <c r="O14" s="296"/>
      <c r="P14" s="296"/>
      <c r="Q14" s="296"/>
      <c r="R14" s="296"/>
      <c r="S14" s="296"/>
      <c r="T14" s="296"/>
      <c r="U14" s="327"/>
      <c r="V14" s="327"/>
      <c r="W14" s="328"/>
      <c r="X14" s="327"/>
      <c r="Y14" s="328"/>
      <c r="Z14" s="327"/>
      <c r="AA14" s="329" t="s">
        <v>221</v>
      </c>
      <c r="AB14" s="298"/>
      <c r="AC14" s="298"/>
      <c r="AD14" s="299"/>
    </row>
    <row r="15" spans="1:30" ht="15.75" customHeight="1" x14ac:dyDescent="0.15">
      <c r="A15" s="290"/>
      <c r="B15" s="300"/>
      <c r="C15" s="300" t="s">
        <v>207</v>
      </c>
      <c r="D15" s="330" t="s">
        <v>222</v>
      </c>
      <c r="E15" s="302" t="s">
        <v>223</v>
      </c>
      <c r="F15" s="303" t="s">
        <v>224</v>
      </c>
      <c r="G15" s="303" t="s">
        <v>22</v>
      </c>
      <c r="H15" s="303" t="s">
        <v>225</v>
      </c>
      <c r="I15" s="331">
        <f t="shared" ref="I15:I34" si="0">J15/$J$35</f>
        <v>1.7793594306049824E-2</v>
      </c>
      <c r="J15" s="305">
        <v>500000</v>
      </c>
      <c r="K15" s="306"/>
      <c r="L15" s="307"/>
      <c r="M15" s="307"/>
      <c r="N15" s="308"/>
      <c r="O15" s="309"/>
      <c r="P15" s="332">
        <f t="shared" ref="P15:P24" si="1">J15/Q15*1000</f>
        <v>1315789.4736842106</v>
      </c>
      <c r="Q15" s="305">
        <v>380</v>
      </c>
      <c r="R15" s="333">
        <v>1.1000000000000001</v>
      </c>
      <c r="S15" s="334">
        <f t="shared" ref="S15:S29" si="2">P15/R15</f>
        <v>1196172.2488038277</v>
      </c>
      <c r="T15" s="306"/>
      <c r="U15" s="335"/>
      <c r="V15" s="335"/>
      <c r="W15" s="336">
        <v>8.0000000000000002E-3</v>
      </c>
      <c r="X15" s="337">
        <f t="shared" ref="X15:X29" si="3">W15*S15</f>
        <v>9569.3779904306211</v>
      </c>
      <c r="Y15" s="336">
        <v>2.0000000000000001E-4</v>
      </c>
      <c r="Z15" s="338"/>
      <c r="AA15" s="339">
        <f t="shared" ref="AA15:AA29" si="4">X15*Y15</f>
        <v>1.9138755980861244</v>
      </c>
      <c r="AB15" s="340">
        <f t="shared" ref="AB15:AB32" si="5">J15/AA15</f>
        <v>261250</v>
      </c>
      <c r="AC15" s="340">
        <f t="shared" ref="AC15:AC32" si="6">AA15*80000</f>
        <v>153110.04784688994</v>
      </c>
      <c r="AD15" s="341">
        <f t="shared" ref="AD15:AD32" si="7">AC15/J15</f>
        <v>0.30622009569377989</v>
      </c>
    </row>
    <row r="16" spans="1:30" ht="15.75" customHeight="1" x14ac:dyDescent="0.15">
      <c r="A16" s="290"/>
      <c r="B16" s="300"/>
      <c r="C16" s="300" t="s">
        <v>207</v>
      </c>
      <c r="D16" s="330" t="s">
        <v>226</v>
      </c>
      <c r="E16" s="302" t="s">
        <v>223</v>
      </c>
      <c r="F16" s="303" t="s">
        <v>224</v>
      </c>
      <c r="G16" s="303" t="s">
        <v>22</v>
      </c>
      <c r="H16" s="303" t="s">
        <v>227</v>
      </c>
      <c r="I16" s="331">
        <f t="shared" si="0"/>
        <v>7.1174377224199295E-2</v>
      </c>
      <c r="J16" s="305">
        <v>2000000</v>
      </c>
      <c r="K16" s="306"/>
      <c r="L16" s="307"/>
      <c r="M16" s="307"/>
      <c r="N16" s="308"/>
      <c r="O16" s="309"/>
      <c r="P16" s="332">
        <f t="shared" si="1"/>
        <v>5263157.8947368423</v>
      </c>
      <c r="Q16" s="305">
        <v>380</v>
      </c>
      <c r="R16" s="333">
        <v>1.1000000000000001</v>
      </c>
      <c r="S16" s="334">
        <f t="shared" si="2"/>
        <v>4784688.9952153107</v>
      </c>
      <c r="T16" s="306"/>
      <c r="U16" s="306"/>
      <c r="V16" s="306"/>
      <c r="W16" s="304">
        <v>8.0000000000000002E-3</v>
      </c>
      <c r="X16" s="332">
        <f t="shared" si="3"/>
        <v>38277.511961722485</v>
      </c>
      <c r="Y16" s="304">
        <v>2.0000000000000001E-4</v>
      </c>
      <c r="Z16" s="342"/>
      <c r="AA16" s="343">
        <f t="shared" si="4"/>
        <v>7.6555023923444976</v>
      </c>
      <c r="AB16" s="340">
        <f t="shared" si="5"/>
        <v>261250</v>
      </c>
      <c r="AC16" s="340">
        <f t="shared" si="6"/>
        <v>612440.19138755975</v>
      </c>
      <c r="AD16" s="344">
        <f t="shared" si="7"/>
        <v>0.30622009569377989</v>
      </c>
    </row>
    <row r="17" spans="1:30" ht="15.75" customHeight="1" x14ac:dyDescent="0.15">
      <c r="A17" s="290"/>
      <c r="B17" s="300"/>
      <c r="C17" s="300" t="s">
        <v>207</v>
      </c>
      <c r="D17" s="330" t="s">
        <v>228</v>
      </c>
      <c r="E17" s="302" t="s">
        <v>223</v>
      </c>
      <c r="F17" s="303" t="s">
        <v>224</v>
      </c>
      <c r="G17" s="303" t="s">
        <v>22</v>
      </c>
      <c r="H17" s="303" t="s">
        <v>48</v>
      </c>
      <c r="I17" s="331">
        <f t="shared" si="0"/>
        <v>7.1174377224199295E-2</v>
      </c>
      <c r="J17" s="305">
        <v>2000000</v>
      </c>
      <c r="K17" s="306"/>
      <c r="L17" s="307"/>
      <c r="M17" s="307"/>
      <c r="N17" s="308"/>
      <c r="O17" s="309"/>
      <c r="P17" s="332">
        <f t="shared" si="1"/>
        <v>5263157.8947368423</v>
      </c>
      <c r="Q17" s="305">
        <v>380</v>
      </c>
      <c r="R17" s="333">
        <v>1.1000000000000001</v>
      </c>
      <c r="S17" s="334">
        <f t="shared" si="2"/>
        <v>4784688.9952153107</v>
      </c>
      <c r="T17" s="306"/>
      <c r="U17" s="306"/>
      <c r="V17" s="306"/>
      <c r="W17" s="304">
        <v>8.0000000000000002E-3</v>
      </c>
      <c r="X17" s="332">
        <f t="shared" si="3"/>
        <v>38277.511961722485</v>
      </c>
      <c r="Y17" s="304">
        <v>2.0000000000000001E-4</v>
      </c>
      <c r="Z17" s="342"/>
      <c r="AA17" s="343">
        <f t="shared" si="4"/>
        <v>7.6555023923444976</v>
      </c>
      <c r="AB17" s="340">
        <f t="shared" si="5"/>
        <v>261250</v>
      </c>
      <c r="AC17" s="340">
        <f t="shared" si="6"/>
        <v>612440.19138755975</v>
      </c>
      <c r="AD17" s="344">
        <f t="shared" si="7"/>
        <v>0.30622009569377989</v>
      </c>
    </row>
    <row r="18" spans="1:30" ht="15.75" customHeight="1" x14ac:dyDescent="0.15">
      <c r="A18" s="290"/>
      <c r="B18" s="312" t="s">
        <v>213</v>
      </c>
      <c r="C18" s="300"/>
      <c r="D18" s="330" t="s">
        <v>229</v>
      </c>
      <c r="E18" s="302" t="s">
        <v>223</v>
      </c>
      <c r="F18" s="303" t="s">
        <v>224</v>
      </c>
      <c r="G18" s="303" t="s">
        <v>22</v>
      </c>
      <c r="H18" s="303" t="s">
        <v>65</v>
      </c>
      <c r="I18" s="331">
        <f t="shared" si="0"/>
        <v>5.3380782918149468E-2</v>
      </c>
      <c r="J18" s="305">
        <v>1500000</v>
      </c>
      <c r="K18" s="306"/>
      <c r="L18" s="307"/>
      <c r="M18" s="307"/>
      <c r="N18" s="308"/>
      <c r="O18" s="309"/>
      <c r="P18" s="332">
        <f t="shared" si="1"/>
        <v>3333333.3333333335</v>
      </c>
      <c r="Q18" s="305">
        <v>450</v>
      </c>
      <c r="R18" s="333">
        <v>1.1000000000000001</v>
      </c>
      <c r="S18" s="334">
        <f t="shared" si="2"/>
        <v>3030303.0303030303</v>
      </c>
      <c r="T18" s="306"/>
      <c r="U18" s="306"/>
      <c r="V18" s="306"/>
      <c r="W18" s="304">
        <v>4.0000000000000001E-3</v>
      </c>
      <c r="X18" s="332">
        <f t="shared" si="3"/>
        <v>12121.212121212122</v>
      </c>
      <c r="Y18" s="304">
        <v>2.0000000000000001E-4</v>
      </c>
      <c r="Z18" s="342"/>
      <c r="AA18" s="343">
        <f t="shared" si="4"/>
        <v>2.4242424242424243</v>
      </c>
      <c r="AB18" s="340">
        <f t="shared" si="5"/>
        <v>618750</v>
      </c>
      <c r="AC18" s="340">
        <f t="shared" si="6"/>
        <v>193939.39393939395</v>
      </c>
      <c r="AD18" s="344">
        <f t="shared" si="7"/>
        <v>0.12929292929292929</v>
      </c>
    </row>
    <row r="19" spans="1:30" ht="15.75" customHeight="1" x14ac:dyDescent="0.15">
      <c r="A19" s="290"/>
      <c r="B19" s="312" t="s">
        <v>213</v>
      </c>
      <c r="C19" s="300"/>
      <c r="D19" s="330" t="s">
        <v>230</v>
      </c>
      <c r="E19" s="302" t="s">
        <v>223</v>
      </c>
      <c r="F19" s="303" t="s">
        <v>224</v>
      </c>
      <c r="G19" s="303" t="s">
        <v>22</v>
      </c>
      <c r="H19" s="303" t="s">
        <v>58</v>
      </c>
      <c r="I19" s="331">
        <f t="shared" si="0"/>
        <v>5.3380782918149468E-2</v>
      </c>
      <c r="J19" s="305">
        <v>1500000</v>
      </c>
      <c r="K19" s="306"/>
      <c r="L19" s="307"/>
      <c r="M19" s="307"/>
      <c r="N19" s="308"/>
      <c r="O19" s="309"/>
      <c r="P19" s="332">
        <f t="shared" si="1"/>
        <v>3333333.3333333335</v>
      </c>
      <c r="Q19" s="305">
        <v>450</v>
      </c>
      <c r="R19" s="333">
        <v>1.1000000000000001</v>
      </c>
      <c r="S19" s="334">
        <f t="shared" si="2"/>
        <v>3030303.0303030303</v>
      </c>
      <c r="T19" s="306"/>
      <c r="U19" s="306"/>
      <c r="V19" s="306"/>
      <c r="W19" s="304">
        <v>5.0000000000000001E-3</v>
      </c>
      <c r="X19" s="332">
        <f t="shared" si="3"/>
        <v>15151.515151515152</v>
      </c>
      <c r="Y19" s="304">
        <v>2.0000000000000001E-4</v>
      </c>
      <c r="Z19" s="342"/>
      <c r="AA19" s="343">
        <f t="shared" si="4"/>
        <v>3.0303030303030307</v>
      </c>
      <c r="AB19" s="340">
        <f t="shared" si="5"/>
        <v>494999.99999999994</v>
      </c>
      <c r="AC19" s="340">
        <f t="shared" si="6"/>
        <v>242424.24242424246</v>
      </c>
      <c r="AD19" s="344">
        <f t="shared" si="7"/>
        <v>0.16161616161616163</v>
      </c>
    </row>
    <row r="20" spans="1:30" ht="15.75" customHeight="1" x14ac:dyDescent="0.15">
      <c r="A20" s="290"/>
      <c r="B20" s="300" t="s">
        <v>207</v>
      </c>
      <c r="C20" s="300"/>
      <c r="D20" s="301" t="s">
        <v>231</v>
      </c>
      <c r="E20" s="302" t="s">
        <v>223</v>
      </c>
      <c r="F20" s="303" t="s">
        <v>224</v>
      </c>
      <c r="G20" s="303" t="s">
        <v>22</v>
      </c>
      <c r="H20" s="303" t="s">
        <v>227</v>
      </c>
      <c r="I20" s="331">
        <f t="shared" si="0"/>
        <v>2.8469750889679714E-2</v>
      </c>
      <c r="J20" s="305">
        <v>800000</v>
      </c>
      <c r="K20" s="306"/>
      <c r="L20" s="307"/>
      <c r="M20" s="307"/>
      <c r="N20" s="308"/>
      <c r="O20" s="309"/>
      <c r="P20" s="332">
        <f t="shared" si="1"/>
        <v>2105263.1578947366</v>
      </c>
      <c r="Q20" s="305">
        <v>380</v>
      </c>
      <c r="R20" s="333">
        <v>1.1000000000000001</v>
      </c>
      <c r="S20" s="334">
        <f t="shared" si="2"/>
        <v>1913875.5980861241</v>
      </c>
      <c r="T20" s="306"/>
      <c r="U20" s="306"/>
      <c r="V20" s="306"/>
      <c r="W20" s="304">
        <v>8.0000000000000002E-3</v>
      </c>
      <c r="X20" s="332">
        <f t="shared" si="3"/>
        <v>15311.004784688992</v>
      </c>
      <c r="Y20" s="304">
        <v>2.0000000000000001E-4</v>
      </c>
      <c r="Z20" s="342"/>
      <c r="AA20" s="343">
        <f t="shared" si="4"/>
        <v>3.0622009569377986</v>
      </c>
      <c r="AB20" s="340">
        <f t="shared" si="5"/>
        <v>261250.00000000003</v>
      </c>
      <c r="AC20" s="340">
        <f t="shared" si="6"/>
        <v>244976.0765550239</v>
      </c>
      <c r="AD20" s="344">
        <f t="shared" si="7"/>
        <v>0.30622009569377989</v>
      </c>
    </row>
    <row r="21" spans="1:30" ht="15.75" customHeight="1" x14ac:dyDescent="0.15">
      <c r="A21" s="290"/>
      <c r="B21" s="300" t="s">
        <v>207</v>
      </c>
      <c r="C21" s="300"/>
      <c r="D21" s="301" t="s">
        <v>232</v>
      </c>
      <c r="E21" s="302" t="s">
        <v>223</v>
      </c>
      <c r="F21" s="303" t="s">
        <v>224</v>
      </c>
      <c r="G21" s="303" t="s">
        <v>22</v>
      </c>
      <c r="H21" s="303" t="s">
        <v>58</v>
      </c>
      <c r="I21" s="331">
        <f t="shared" si="0"/>
        <v>1.7793594306049824E-2</v>
      </c>
      <c r="J21" s="305">
        <v>500000</v>
      </c>
      <c r="K21" s="306"/>
      <c r="L21" s="307"/>
      <c r="M21" s="307"/>
      <c r="N21" s="308"/>
      <c r="O21" s="309"/>
      <c r="P21" s="332">
        <f t="shared" si="1"/>
        <v>1111111.111111111</v>
      </c>
      <c r="Q21" s="305">
        <v>450</v>
      </c>
      <c r="R21" s="333">
        <v>1.1000000000000001</v>
      </c>
      <c r="S21" s="334">
        <f t="shared" si="2"/>
        <v>1010101.01010101</v>
      </c>
      <c r="T21" s="306"/>
      <c r="U21" s="306"/>
      <c r="V21" s="306"/>
      <c r="W21" s="304">
        <v>5.0000000000000001E-3</v>
      </c>
      <c r="X21" s="332">
        <f t="shared" si="3"/>
        <v>5050.5050505050503</v>
      </c>
      <c r="Y21" s="304">
        <v>2.0000000000000001E-4</v>
      </c>
      <c r="Z21" s="342"/>
      <c r="AA21" s="343">
        <f t="shared" si="4"/>
        <v>1.0101010101010102</v>
      </c>
      <c r="AB21" s="340">
        <f t="shared" si="5"/>
        <v>494999.99999999994</v>
      </c>
      <c r="AC21" s="340">
        <f t="shared" si="6"/>
        <v>80808.08080808082</v>
      </c>
      <c r="AD21" s="344">
        <f t="shared" si="7"/>
        <v>0.16161616161616163</v>
      </c>
    </row>
    <row r="22" spans="1:30" ht="15.75" customHeight="1" x14ac:dyDescent="0.15">
      <c r="A22" s="290"/>
      <c r="B22" s="300" t="s">
        <v>207</v>
      </c>
      <c r="C22" s="300"/>
      <c r="D22" s="301" t="s">
        <v>233</v>
      </c>
      <c r="E22" s="302" t="s">
        <v>223</v>
      </c>
      <c r="F22" s="303" t="s">
        <v>224</v>
      </c>
      <c r="G22" s="303" t="s">
        <v>22</v>
      </c>
      <c r="H22" s="303" t="s">
        <v>65</v>
      </c>
      <c r="I22" s="331">
        <f t="shared" si="0"/>
        <v>8.8967971530249115E-2</v>
      </c>
      <c r="J22" s="305">
        <v>2500000</v>
      </c>
      <c r="K22" s="306"/>
      <c r="L22" s="307"/>
      <c r="M22" s="307"/>
      <c r="N22" s="308"/>
      <c r="O22" s="309"/>
      <c r="P22" s="332">
        <f t="shared" si="1"/>
        <v>5555555.555555556</v>
      </c>
      <c r="Q22" s="305">
        <v>450</v>
      </c>
      <c r="R22" s="333">
        <v>1.1000000000000001</v>
      </c>
      <c r="S22" s="334">
        <f t="shared" si="2"/>
        <v>5050505.0505050505</v>
      </c>
      <c r="T22" s="306"/>
      <c r="U22" s="306"/>
      <c r="V22" s="306"/>
      <c r="W22" s="304">
        <v>0.01</v>
      </c>
      <c r="X22" s="332">
        <f t="shared" si="3"/>
        <v>50505.050505050509</v>
      </c>
      <c r="Y22" s="304">
        <v>2.0000000000000001E-4</v>
      </c>
      <c r="Z22" s="342"/>
      <c r="AA22" s="343">
        <f t="shared" si="4"/>
        <v>10.101010101010102</v>
      </c>
      <c r="AB22" s="340">
        <f t="shared" si="5"/>
        <v>247499.99999999997</v>
      </c>
      <c r="AC22" s="340">
        <f t="shared" si="6"/>
        <v>808080.80808080814</v>
      </c>
      <c r="AD22" s="344">
        <f t="shared" si="7"/>
        <v>0.32323232323232326</v>
      </c>
    </row>
    <row r="23" spans="1:30" ht="15.75" customHeight="1" x14ac:dyDescent="0.15">
      <c r="A23" s="290"/>
      <c r="B23" s="300"/>
      <c r="C23" s="300" t="s">
        <v>207</v>
      </c>
      <c r="D23" s="301" t="s">
        <v>234</v>
      </c>
      <c r="E23" s="302" t="s">
        <v>223</v>
      </c>
      <c r="F23" s="303" t="s">
        <v>224</v>
      </c>
      <c r="G23" s="345" t="s">
        <v>22</v>
      </c>
      <c r="H23" s="345" t="s">
        <v>227</v>
      </c>
      <c r="I23" s="331">
        <f t="shared" si="0"/>
        <v>1.7793594306049824E-2</v>
      </c>
      <c r="J23" s="305">
        <v>500000</v>
      </c>
      <c r="K23" s="306"/>
      <c r="L23" s="307"/>
      <c r="M23" s="307"/>
      <c r="N23" s="308"/>
      <c r="O23" s="309"/>
      <c r="P23" s="332">
        <f t="shared" si="1"/>
        <v>1315789.4736842106</v>
      </c>
      <c r="Q23" s="305">
        <v>380</v>
      </c>
      <c r="R23" s="333">
        <v>1.1000000000000001</v>
      </c>
      <c r="S23" s="334">
        <f t="shared" si="2"/>
        <v>1196172.2488038277</v>
      </c>
      <c r="T23" s="306"/>
      <c r="U23" s="306"/>
      <c r="V23" s="306"/>
      <c r="W23" s="304">
        <v>0.01</v>
      </c>
      <c r="X23" s="332">
        <f t="shared" si="3"/>
        <v>11961.722488038276</v>
      </c>
      <c r="Y23" s="304">
        <v>2.0000000000000001E-4</v>
      </c>
      <c r="Z23" s="342"/>
      <c r="AA23" s="343">
        <f t="shared" si="4"/>
        <v>2.3923444976076556</v>
      </c>
      <c r="AB23" s="340">
        <f t="shared" si="5"/>
        <v>209000</v>
      </c>
      <c r="AC23" s="340">
        <f t="shared" si="6"/>
        <v>191387.55980861245</v>
      </c>
      <c r="AD23" s="344">
        <f t="shared" si="7"/>
        <v>0.38277511961722488</v>
      </c>
    </row>
    <row r="24" spans="1:30" ht="15.75" customHeight="1" x14ac:dyDescent="0.15">
      <c r="A24" s="290"/>
      <c r="B24" s="300"/>
      <c r="C24" s="300" t="s">
        <v>207</v>
      </c>
      <c r="D24" s="301" t="s">
        <v>235</v>
      </c>
      <c r="E24" s="302" t="s">
        <v>223</v>
      </c>
      <c r="F24" s="303" t="s">
        <v>224</v>
      </c>
      <c r="G24" s="345" t="s">
        <v>22</v>
      </c>
      <c r="H24" s="345" t="s">
        <v>48</v>
      </c>
      <c r="I24" s="331">
        <f t="shared" si="0"/>
        <v>1.7793594306049824E-2</v>
      </c>
      <c r="J24" s="305">
        <v>500000</v>
      </c>
      <c r="K24" s="306"/>
      <c r="L24" s="307"/>
      <c r="M24" s="307"/>
      <c r="N24" s="308"/>
      <c r="O24" s="309"/>
      <c r="P24" s="332">
        <f t="shared" si="1"/>
        <v>1315789.4736842106</v>
      </c>
      <c r="Q24" s="305">
        <v>380</v>
      </c>
      <c r="R24" s="333">
        <v>1.1000000000000001</v>
      </c>
      <c r="S24" s="334">
        <f t="shared" si="2"/>
        <v>1196172.2488038277</v>
      </c>
      <c r="T24" s="306"/>
      <c r="U24" s="306"/>
      <c r="V24" s="306"/>
      <c r="W24" s="304">
        <v>0.01</v>
      </c>
      <c r="X24" s="332">
        <f t="shared" si="3"/>
        <v>11961.722488038276</v>
      </c>
      <c r="Y24" s="304">
        <v>2.0000000000000001E-4</v>
      </c>
      <c r="Z24" s="342"/>
      <c r="AA24" s="343">
        <f t="shared" si="4"/>
        <v>2.3923444976076556</v>
      </c>
      <c r="AB24" s="340">
        <f t="shared" si="5"/>
        <v>209000</v>
      </c>
      <c r="AC24" s="340">
        <f t="shared" si="6"/>
        <v>191387.55980861245</v>
      </c>
      <c r="AD24" s="344">
        <f t="shared" si="7"/>
        <v>0.38277511961722488</v>
      </c>
    </row>
    <row r="25" spans="1:30" ht="15.75" customHeight="1" x14ac:dyDescent="0.15">
      <c r="A25" s="290"/>
      <c r="B25" s="300" t="s">
        <v>207</v>
      </c>
      <c r="C25" s="300"/>
      <c r="D25" s="301" t="s">
        <v>236</v>
      </c>
      <c r="E25" s="302" t="s">
        <v>223</v>
      </c>
      <c r="F25" s="303" t="s">
        <v>237</v>
      </c>
      <c r="G25" s="303" t="s">
        <v>19</v>
      </c>
      <c r="H25" s="303" t="s">
        <v>65</v>
      </c>
      <c r="I25" s="331">
        <f t="shared" si="0"/>
        <v>0.14234875444839859</v>
      </c>
      <c r="J25" s="305">
        <v>4000000</v>
      </c>
      <c r="K25" s="346">
        <v>5</v>
      </c>
      <c r="L25" s="334">
        <f>J25/K25</f>
        <v>800000</v>
      </c>
      <c r="M25" s="334">
        <f>L25/N25</f>
        <v>2.6666666666666665</v>
      </c>
      <c r="N25" s="347">
        <v>300000</v>
      </c>
      <c r="O25" s="348">
        <v>0.2</v>
      </c>
      <c r="P25" s="332">
        <f>O25*L25</f>
        <v>160000</v>
      </c>
      <c r="Q25" s="305">
        <f>J25*1000/P25</f>
        <v>25000</v>
      </c>
      <c r="R25" s="333">
        <v>1.1000000000000001</v>
      </c>
      <c r="S25" s="334">
        <f t="shared" si="2"/>
        <v>145454.54545454544</v>
      </c>
      <c r="T25" s="306"/>
      <c r="U25" s="304">
        <v>5.0000000000000001E-3</v>
      </c>
      <c r="V25" s="332">
        <f>S25*U25</f>
        <v>727.27272727272725</v>
      </c>
      <c r="W25" s="304">
        <v>1.4999999999999999E-2</v>
      </c>
      <c r="X25" s="332">
        <f t="shared" si="3"/>
        <v>2181.8181818181815</v>
      </c>
      <c r="Y25" s="304">
        <v>2.5000000000000001E-2</v>
      </c>
      <c r="Z25" s="342"/>
      <c r="AA25" s="343">
        <f t="shared" si="4"/>
        <v>54.54545454545454</v>
      </c>
      <c r="AB25" s="340">
        <f t="shared" si="5"/>
        <v>73333.333333333343</v>
      </c>
      <c r="AC25" s="340">
        <f t="shared" si="6"/>
        <v>4363636.3636363633</v>
      </c>
      <c r="AD25" s="344">
        <f t="shared" si="7"/>
        <v>1.0909090909090908</v>
      </c>
    </row>
    <row r="26" spans="1:30" ht="15.75" customHeight="1" x14ac:dyDescent="0.15">
      <c r="A26" s="290"/>
      <c r="B26" s="300" t="s">
        <v>207</v>
      </c>
      <c r="C26" s="300"/>
      <c r="D26" s="330" t="s">
        <v>238</v>
      </c>
      <c r="E26" s="302" t="s">
        <v>223</v>
      </c>
      <c r="F26" s="303" t="s">
        <v>237</v>
      </c>
      <c r="G26" s="303" t="s">
        <v>25</v>
      </c>
      <c r="H26" s="303" t="s">
        <v>48</v>
      </c>
      <c r="I26" s="331">
        <f t="shared" si="0"/>
        <v>6.4056939501779361E-2</v>
      </c>
      <c r="J26" s="305">
        <v>1800000</v>
      </c>
      <c r="K26" s="349">
        <v>4</v>
      </c>
      <c r="L26" s="350">
        <f>J26/K26</f>
        <v>450000</v>
      </c>
      <c r="M26" s="334">
        <f>L26/N26</f>
        <v>4.5</v>
      </c>
      <c r="N26" s="351">
        <v>100000</v>
      </c>
      <c r="O26" s="352">
        <v>0.2</v>
      </c>
      <c r="P26" s="353">
        <f>O26*L26</f>
        <v>90000</v>
      </c>
      <c r="Q26" s="354">
        <f>J26*1000/P26</f>
        <v>20000</v>
      </c>
      <c r="R26" s="355">
        <v>1.1000000000000001</v>
      </c>
      <c r="S26" s="350">
        <f t="shared" si="2"/>
        <v>81818.181818181809</v>
      </c>
      <c r="T26" s="306"/>
      <c r="U26" s="304">
        <v>0.01</v>
      </c>
      <c r="V26" s="332">
        <f>S26*U26</f>
        <v>818.18181818181813</v>
      </c>
      <c r="W26" s="304">
        <v>0.01</v>
      </c>
      <c r="X26" s="332">
        <f t="shared" si="3"/>
        <v>818.18181818181813</v>
      </c>
      <c r="Y26" s="304">
        <v>3.0000000000000001E-3</v>
      </c>
      <c r="Z26" s="342"/>
      <c r="AA26" s="343">
        <f t="shared" si="4"/>
        <v>2.4545454545454546</v>
      </c>
      <c r="AB26" s="340">
        <f t="shared" si="5"/>
        <v>733333.33333333337</v>
      </c>
      <c r="AC26" s="340">
        <f t="shared" si="6"/>
        <v>196363.63636363635</v>
      </c>
      <c r="AD26" s="344">
        <f t="shared" si="7"/>
        <v>0.10909090909090909</v>
      </c>
    </row>
    <row r="27" spans="1:30" ht="15.75" customHeight="1" x14ac:dyDescent="0.15">
      <c r="A27" s="290"/>
      <c r="B27" s="300" t="s">
        <v>207</v>
      </c>
      <c r="C27" s="300"/>
      <c r="D27" s="301" t="s">
        <v>239</v>
      </c>
      <c r="E27" s="302" t="s">
        <v>223</v>
      </c>
      <c r="F27" s="303" t="s">
        <v>240</v>
      </c>
      <c r="G27" s="345" t="s">
        <v>19</v>
      </c>
      <c r="H27" s="345" t="s">
        <v>227</v>
      </c>
      <c r="I27" s="331">
        <f t="shared" si="0"/>
        <v>3.5587188612099648E-2</v>
      </c>
      <c r="J27" s="305">
        <v>1000000</v>
      </c>
      <c r="K27" s="346">
        <v>4</v>
      </c>
      <c r="L27" s="334">
        <f>J27/K27</f>
        <v>250000</v>
      </c>
      <c r="M27" s="334">
        <f>L27/N27</f>
        <v>5</v>
      </c>
      <c r="N27" s="347">
        <v>50000</v>
      </c>
      <c r="O27" s="348">
        <v>0.2</v>
      </c>
      <c r="P27" s="332">
        <f>O27*L27</f>
        <v>50000</v>
      </c>
      <c r="Q27" s="305">
        <f>J27*1000/P27</f>
        <v>20000</v>
      </c>
      <c r="R27" s="333">
        <v>1.1000000000000001</v>
      </c>
      <c r="S27" s="334">
        <f t="shared" si="2"/>
        <v>45454.545454545449</v>
      </c>
      <c r="T27" s="306"/>
      <c r="U27" s="304">
        <v>5.0000000000000001E-3</v>
      </c>
      <c r="V27" s="332">
        <f>S27*U27</f>
        <v>227.27272727272725</v>
      </c>
      <c r="W27" s="304">
        <v>0.01</v>
      </c>
      <c r="X27" s="332">
        <f t="shared" si="3"/>
        <v>454.5454545454545</v>
      </c>
      <c r="Y27" s="304">
        <v>3.0000000000000001E-3</v>
      </c>
      <c r="Z27" s="342"/>
      <c r="AA27" s="343">
        <f t="shared" si="4"/>
        <v>1.3636363636363635</v>
      </c>
      <c r="AB27" s="340">
        <f t="shared" si="5"/>
        <v>733333.33333333337</v>
      </c>
      <c r="AC27" s="340">
        <f t="shared" si="6"/>
        <v>109090.90909090909</v>
      </c>
      <c r="AD27" s="344">
        <f t="shared" si="7"/>
        <v>0.10909090909090909</v>
      </c>
    </row>
    <row r="28" spans="1:30" ht="15.75" customHeight="1" x14ac:dyDescent="0.15">
      <c r="A28" s="290"/>
      <c r="B28" s="300" t="s">
        <v>207</v>
      </c>
      <c r="C28" s="300"/>
      <c r="D28" s="301" t="s">
        <v>241</v>
      </c>
      <c r="E28" s="302" t="s">
        <v>223</v>
      </c>
      <c r="F28" s="303" t="s">
        <v>240</v>
      </c>
      <c r="G28" s="345" t="s">
        <v>19</v>
      </c>
      <c r="H28" s="345" t="s">
        <v>48</v>
      </c>
      <c r="I28" s="331">
        <f t="shared" si="0"/>
        <v>3.5587188612099648E-2</v>
      </c>
      <c r="J28" s="305">
        <v>1000000</v>
      </c>
      <c r="K28" s="346">
        <v>4</v>
      </c>
      <c r="L28" s="334">
        <f>J28/K28</f>
        <v>250000</v>
      </c>
      <c r="M28" s="334">
        <f>L28/N28</f>
        <v>5</v>
      </c>
      <c r="N28" s="347">
        <v>50000</v>
      </c>
      <c r="O28" s="348">
        <v>0.2</v>
      </c>
      <c r="P28" s="332">
        <f>O28*L28</f>
        <v>50000</v>
      </c>
      <c r="Q28" s="305">
        <f>J28*1000/P28</f>
        <v>20000</v>
      </c>
      <c r="R28" s="333">
        <v>1.1000000000000001</v>
      </c>
      <c r="S28" s="334">
        <f t="shared" si="2"/>
        <v>45454.545454545449</v>
      </c>
      <c r="T28" s="306"/>
      <c r="U28" s="304">
        <v>0.01</v>
      </c>
      <c r="V28" s="332">
        <f>S28*U28</f>
        <v>454.5454545454545</v>
      </c>
      <c r="W28" s="304">
        <v>0.01</v>
      </c>
      <c r="X28" s="332">
        <f t="shared" si="3"/>
        <v>454.5454545454545</v>
      </c>
      <c r="Y28" s="304">
        <v>3.0000000000000001E-3</v>
      </c>
      <c r="Z28" s="342"/>
      <c r="AA28" s="343">
        <f t="shared" si="4"/>
        <v>1.3636363636363635</v>
      </c>
      <c r="AB28" s="340">
        <f t="shared" si="5"/>
        <v>733333.33333333337</v>
      </c>
      <c r="AC28" s="340">
        <f t="shared" si="6"/>
        <v>109090.90909090909</v>
      </c>
      <c r="AD28" s="344">
        <f t="shared" si="7"/>
        <v>0.10909090909090909</v>
      </c>
    </row>
    <row r="29" spans="1:30" ht="15.75" customHeight="1" x14ac:dyDescent="0.15">
      <c r="A29" s="290"/>
      <c r="B29" s="300" t="s">
        <v>207</v>
      </c>
      <c r="C29" s="300"/>
      <c r="D29" s="301" t="s">
        <v>242</v>
      </c>
      <c r="E29" s="302" t="s">
        <v>223</v>
      </c>
      <c r="F29" s="303" t="s">
        <v>243</v>
      </c>
      <c r="G29" s="345" t="s">
        <v>25</v>
      </c>
      <c r="H29" s="345" t="s">
        <v>227</v>
      </c>
      <c r="I29" s="331">
        <f t="shared" si="0"/>
        <v>6.4056939501779361E-2</v>
      </c>
      <c r="J29" s="305">
        <v>1800000</v>
      </c>
      <c r="K29" s="346">
        <v>4</v>
      </c>
      <c r="L29" s="334">
        <f>J29/K29</f>
        <v>450000</v>
      </c>
      <c r="M29" s="334">
        <f>L29/N29</f>
        <v>9</v>
      </c>
      <c r="N29" s="347">
        <v>50000</v>
      </c>
      <c r="O29" s="348">
        <v>0.6</v>
      </c>
      <c r="P29" s="332">
        <f>O29*L29</f>
        <v>270000</v>
      </c>
      <c r="Q29" s="305">
        <f>J29*1000/P29</f>
        <v>6666.666666666667</v>
      </c>
      <c r="R29" s="333">
        <v>1.1000000000000001</v>
      </c>
      <c r="S29" s="334">
        <f t="shared" si="2"/>
        <v>245454.54545454544</v>
      </c>
      <c r="T29" s="306"/>
      <c r="U29" s="304">
        <v>5.0000000000000001E-3</v>
      </c>
      <c r="V29" s="332">
        <f>S29*U29</f>
        <v>1227.2727272727273</v>
      </c>
      <c r="W29" s="304">
        <v>2.5000000000000001E-2</v>
      </c>
      <c r="X29" s="332">
        <f t="shared" si="3"/>
        <v>6136.363636363636</v>
      </c>
      <c r="Y29" s="304">
        <v>5.0000000000000001E-3</v>
      </c>
      <c r="Z29" s="342"/>
      <c r="AA29" s="343">
        <f t="shared" si="4"/>
        <v>30.68181818181818</v>
      </c>
      <c r="AB29" s="340">
        <f t="shared" si="5"/>
        <v>58666.666666666672</v>
      </c>
      <c r="AC29" s="340">
        <f t="shared" si="6"/>
        <v>2454545.4545454546</v>
      </c>
      <c r="AD29" s="344">
        <f t="shared" si="7"/>
        <v>1.3636363636363638</v>
      </c>
    </row>
    <row r="30" spans="1:30" ht="15.75" customHeight="1" x14ac:dyDescent="0.15">
      <c r="A30" s="290"/>
      <c r="B30" s="300"/>
      <c r="C30" s="300" t="s">
        <v>207</v>
      </c>
      <c r="D30" s="301" t="s">
        <v>244</v>
      </c>
      <c r="E30" s="302" t="s">
        <v>223</v>
      </c>
      <c r="F30" s="303" t="s">
        <v>243</v>
      </c>
      <c r="G30" s="345" t="s">
        <v>25</v>
      </c>
      <c r="H30" s="345" t="s">
        <v>245</v>
      </c>
      <c r="I30" s="331">
        <f t="shared" si="0"/>
        <v>3.5587188612099648E-2</v>
      </c>
      <c r="J30" s="305">
        <v>1000000</v>
      </c>
      <c r="K30" s="306"/>
      <c r="L30" s="306"/>
      <c r="M30" s="306"/>
      <c r="N30" s="306"/>
      <c r="O30" s="306"/>
      <c r="P30" s="306"/>
      <c r="Q30" s="306"/>
      <c r="R30" s="306"/>
      <c r="S30" s="306"/>
      <c r="T30" s="306"/>
      <c r="U30" s="306"/>
      <c r="V30" s="306"/>
      <c r="W30" s="310"/>
      <c r="X30" s="306"/>
      <c r="Y30" s="310"/>
      <c r="Z30" s="306"/>
      <c r="AA30" s="332">
        <v>100</v>
      </c>
      <c r="AB30" s="340">
        <f t="shared" si="5"/>
        <v>10000</v>
      </c>
      <c r="AC30" s="340">
        <f t="shared" si="6"/>
        <v>8000000</v>
      </c>
      <c r="AD30" s="344">
        <f t="shared" si="7"/>
        <v>8</v>
      </c>
    </row>
    <row r="31" spans="1:30" ht="15.75" customHeight="1" x14ac:dyDescent="0.15">
      <c r="A31" s="290"/>
      <c r="B31" s="300" t="s">
        <v>207</v>
      </c>
      <c r="C31" s="356"/>
      <c r="D31" s="357" t="s">
        <v>246</v>
      </c>
      <c r="E31" s="302" t="s">
        <v>223</v>
      </c>
      <c r="F31" s="303" t="s">
        <v>210</v>
      </c>
      <c r="G31" s="303" t="s">
        <v>25</v>
      </c>
      <c r="H31" s="303" t="s">
        <v>227</v>
      </c>
      <c r="I31" s="331">
        <f t="shared" si="0"/>
        <v>2.8469750889679714E-2</v>
      </c>
      <c r="J31" s="358">
        <f>AC31/10</f>
        <v>800000</v>
      </c>
      <c r="K31" s="359">
        <v>2</v>
      </c>
      <c r="L31" s="334">
        <f>J31/K31</f>
        <v>400000</v>
      </c>
      <c r="M31" s="334">
        <f>L31/N31</f>
        <v>4</v>
      </c>
      <c r="N31" s="332">
        <v>100000</v>
      </c>
      <c r="O31" s="360">
        <v>0.2</v>
      </c>
      <c r="P31" s="332">
        <f>O31*L31</f>
        <v>80000</v>
      </c>
      <c r="Q31" s="361">
        <f>J31*1000/P31</f>
        <v>10000</v>
      </c>
      <c r="R31" s="362">
        <v>1.1000000000000001</v>
      </c>
      <c r="S31" s="334">
        <f>P31/R31</f>
        <v>72727.272727272721</v>
      </c>
      <c r="T31" s="306"/>
      <c r="U31" s="306"/>
      <c r="V31" s="306"/>
      <c r="W31" s="310"/>
      <c r="X31" s="306"/>
      <c r="Y31" s="310"/>
      <c r="Z31" s="306"/>
      <c r="AA31" s="363">
        <v>100</v>
      </c>
      <c r="AB31" s="340">
        <f t="shared" si="5"/>
        <v>8000</v>
      </c>
      <c r="AC31" s="340">
        <f t="shared" si="6"/>
        <v>8000000</v>
      </c>
      <c r="AD31" s="344">
        <f t="shared" si="7"/>
        <v>10</v>
      </c>
    </row>
    <row r="32" spans="1:30" ht="15.75" customHeight="1" x14ac:dyDescent="0.15">
      <c r="A32" s="290"/>
      <c r="B32" s="300" t="s">
        <v>207</v>
      </c>
      <c r="C32" s="356"/>
      <c r="D32" s="357" t="s">
        <v>247</v>
      </c>
      <c r="E32" s="302" t="s">
        <v>223</v>
      </c>
      <c r="F32" s="303" t="s">
        <v>210</v>
      </c>
      <c r="G32" s="303" t="s">
        <v>25</v>
      </c>
      <c r="H32" s="303" t="s">
        <v>227</v>
      </c>
      <c r="I32" s="331">
        <f t="shared" si="0"/>
        <v>1.4234875444839857E-2</v>
      </c>
      <c r="J32" s="358">
        <f>AC32/10</f>
        <v>400000</v>
      </c>
      <c r="K32" s="359">
        <v>2</v>
      </c>
      <c r="L32" s="334">
        <f>J32/K32</f>
        <v>200000</v>
      </c>
      <c r="M32" s="334">
        <f>L32/N32</f>
        <v>2</v>
      </c>
      <c r="N32" s="332">
        <v>100000</v>
      </c>
      <c r="O32" s="360">
        <v>0.2</v>
      </c>
      <c r="P32" s="332">
        <f>O32*L32</f>
        <v>40000</v>
      </c>
      <c r="Q32" s="361">
        <f>J32*1000/P32</f>
        <v>10000</v>
      </c>
      <c r="R32" s="362">
        <v>1.1000000000000001</v>
      </c>
      <c r="S32" s="334">
        <f>P32/R32</f>
        <v>36363.63636363636</v>
      </c>
      <c r="T32" s="306"/>
      <c r="U32" s="306"/>
      <c r="V32" s="306"/>
      <c r="W32" s="310"/>
      <c r="X32" s="306"/>
      <c r="Y32" s="310"/>
      <c r="Z32" s="306"/>
      <c r="AA32" s="363">
        <v>50</v>
      </c>
      <c r="AB32" s="340">
        <f t="shared" si="5"/>
        <v>8000</v>
      </c>
      <c r="AC32" s="340">
        <f t="shared" si="6"/>
        <v>4000000</v>
      </c>
      <c r="AD32" s="344">
        <f t="shared" si="7"/>
        <v>10</v>
      </c>
    </row>
    <row r="33" spans="1:30" ht="15.75" customHeight="1" x14ac:dyDescent="0.15">
      <c r="A33" s="290"/>
      <c r="B33" s="300"/>
      <c r="C33" s="300"/>
      <c r="D33" s="364" t="s">
        <v>248</v>
      </c>
      <c r="E33" s="302" t="s">
        <v>223</v>
      </c>
      <c r="F33" s="303" t="s">
        <v>249</v>
      </c>
      <c r="G33" s="303" t="s">
        <v>19</v>
      </c>
      <c r="H33" s="303" t="s">
        <v>227</v>
      </c>
      <c r="I33" s="331">
        <f t="shared" si="0"/>
        <v>0.10676156583629894</v>
      </c>
      <c r="J33" s="305">
        <v>3000000</v>
      </c>
      <c r="K33" s="306"/>
      <c r="L33" s="306"/>
      <c r="M33" s="306"/>
      <c r="N33" s="306"/>
      <c r="O33" s="306"/>
      <c r="P33" s="306"/>
      <c r="Q33" s="306"/>
      <c r="R33" s="306"/>
      <c r="S33" s="306"/>
      <c r="T33" s="306"/>
      <c r="U33" s="306"/>
      <c r="V33" s="306"/>
      <c r="W33" s="310"/>
      <c r="X33" s="306"/>
      <c r="Y33" s="310"/>
      <c r="Z33" s="306"/>
      <c r="AA33" s="306"/>
      <c r="AB33" s="306"/>
      <c r="AC33" s="306"/>
      <c r="AD33" s="306"/>
    </row>
    <row r="34" spans="1:30" ht="15.75" customHeight="1" x14ac:dyDescent="0.15">
      <c r="A34" s="290"/>
      <c r="B34" s="300"/>
      <c r="C34" s="356"/>
      <c r="D34" s="357" t="s">
        <v>250</v>
      </c>
      <c r="E34" s="302" t="s">
        <v>223</v>
      </c>
      <c r="F34" s="303" t="s">
        <v>249</v>
      </c>
      <c r="G34" s="303"/>
      <c r="H34" s="303"/>
      <c r="I34" s="331">
        <f t="shared" si="0"/>
        <v>3.5587188612099648E-2</v>
      </c>
      <c r="J34" s="361">
        <v>1000000</v>
      </c>
      <c r="K34" s="306"/>
      <c r="L34" s="306"/>
      <c r="M34" s="306"/>
      <c r="N34" s="306"/>
      <c r="O34" s="306"/>
      <c r="P34" s="306"/>
      <c r="Q34" s="306"/>
      <c r="R34" s="306"/>
      <c r="S34" s="306"/>
      <c r="T34" s="306"/>
      <c r="U34" s="306"/>
      <c r="V34" s="306"/>
      <c r="W34" s="310"/>
      <c r="X34" s="306"/>
      <c r="Y34" s="310"/>
      <c r="Z34" s="306"/>
      <c r="AA34" s="306"/>
      <c r="AB34" s="306"/>
      <c r="AC34" s="306"/>
      <c r="AD34" s="306"/>
    </row>
    <row r="35" spans="1:30" ht="15.75" customHeight="1" x14ac:dyDescent="0.15">
      <c r="A35" s="290"/>
      <c r="B35" s="313"/>
      <c r="C35" s="313"/>
      <c r="D35" s="314" t="s">
        <v>27</v>
      </c>
      <c r="E35" s="315"/>
      <c r="F35" s="315"/>
      <c r="G35" s="315"/>
      <c r="H35" s="315"/>
      <c r="I35" s="316">
        <f>SUM(I15:I34)</f>
        <v>1</v>
      </c>
      <c r="J35" s="365">
        <f>SUM(J15:J34)</f>
        <v>28100000</v>
      </c>
      <c r="K35" s="315"/>
      <c r="L35" s="318"/>
      <c r="M35" s="318">
        <f>SUM(M15:M34)</f>
        <v>32.166666666666664</v>
      </c>
      <c r="N35" s="318"/>
      <c r="O35" s="318"/>
      <c r="P35" s="318">
        <f>SUM(P15:P34)</f>
        <v>30652280.701754387</v>
      </c>
      <c r="Q35" s="317">
        <f>J35/P35*1000</f>
        <v>916.73439485342089</v>
      </c>
      <c r="R35" s="319">
        <f>P35/T35</f>
        <v>1.803075335397317</v>
      </c>
      <c r="S35" s="318">
        <f>SUM(S15:S34)</f>
        <v>27865709.728867628</v>
      </c>
      <c r="T35" s="318">
        <v>17000000</v>
      </c>
      <c r="U35" s="318"/>
      <c r="V35" s="318"/>
      <c r="W35" s="320"/>
      <c r="X35" s="318"/>
      <c r="Y35" s="320"/>
      <c r="Z35" s="318"/>
      <c r="AA35" s="318">
        <f>SUM(AA15:AA34)</f>
        <v>382.04651780967572</v>
      </c>
      <c r="AB35" s="317"/>
      <c r="AC35" s="317">
        <f>SUM(AC15:AC34)</f>
        <v>30563721.424774058</v>
      </c>
      <c r="AD35" s="317"/>
    </row>
    <row r="36" spans="1:30" ht="15.75" customHeight="1" x14ac:dyDescent="0.15">
      <c r="A36" s="290"/>
      <c r="B36" s="290"/>
      <c r="C36" s="290"/>
      <c r="D36" s="290"/>
      <c r="E36" s="290"/>
      <c r="F36" s="290"/>
      <c r="G36" s="290"/>
      <c r="H36" s="290"/>
      <c r="I36" s="290"/>
      <c r="J36" s="290"/>
      <c r="K36" s="290"/>
      <c r="L36" s="290"/>
      <c r="M36" s="290"/>
      <c r="N36" s="290"/>
      <c r="O36" s="290"/>
      <c r="P36" s="290"/>
      <c r="Q36" s="290"/>
      <c r="R36" s="290"/>
      <c r="S36" s="290"/>
      <c r="T36" s="290" t="s">
        <v>251</v>
      </c>
      <c r="U36" s="290"/>
      <c r="V36" s="290"/>
      <c r="W36" s="291"/>
      <c r="X36" s="290"/>
      <c r="Y36" s="291"/>
      <c r="Z36" s="290"/>
      <c r="AA36" s="290"/>
      <c r="AB36" s="292"/>
      <c r="AC36" s="292"/>
      <c r="AD36" s="292"/>
    </row>
    <row r="37" spans="1:30" ht="15.75" customHeight="1" x14ac:dyDescent="0.15">
      <c r="A37" s="290"/>
      <c r="B37" s="366"/>
      <c r="C37" s="366" t="s">
        <v>207</v>
      </c>
      <c r="D37" s="367" t="s">
        <v>252</v>
      </c>
      <c r="E37" s="367" t="s">
        <v>223</v>
      </c>
      <c r="F37" s="368" t="s">
        <v>210</v>
      </c>
      <c r="G37" s="368"/>
      <c r="H37" s="368"/>
      <c r="I37" s="369"/>
      <c r="J37" s="370">
        <v>33000000</v>
      </c>
      <c r="K37" s="371"/>
      <c r="L37" s="372"/>
      <c r="M37" s="372"/>
      <c r="N37" s="372"/>
      <c r="O37" s="373"/>
      <c r="P37" s="372"/>
      <c r="Q37" s="374"/>
      <c r="R37" s="375"/>
      <c r="S37" s="372"/>
      <c r="T37" s="376"/>
      <c r="U37" s="376"/>
      <c r="V37" s="376"/>
      <c r="W37" s="377"/>
      <c r="X37" s="376"/>
      <c r="Y37" s="377"/>
      <c r="Z37" s="376"/>
      <c r="AA37" s="372">
        <f>J37/AB37</f>
        <v>1833.3333333333333</v>
      </c>
      <c r="AB37" s="378">
        <v>18000</v>
      </c>
      <c r="AC37" s="378">
        <f>AA37*80000</f>
        <v>146666666.66666666</v>
      </c>
      <c r="AD37" s="379">
        <f>AC37/J37</f>
        <v>4.4444444444444438</v>
      </c>
    </row>
    <row r="38" spans="1:30" ht="15.75" customHeight="1" x14ac:dyDescent="0.15">
      <c r="A38" s="290"/>
      <c r="B38" s="290"/>
      <c r="C38" s="290"/>
      <c r="D38" s="290"/>
      <c r="E38" s="290"/>
      <c r="F38" s="290"/>
      <c r="G38" s="290"/>
      <c r="H38" s="290"/>
      <c r="I38" s="290"/>
      <c r="J38" s="290"/>
      <c r="K38" s="290"/>
      <c r="L38" s="290"/>
      <c r="M38" s="290"/>
      <c r="N38" s="290"/>
      <c r="O38" s="290"/>
      <c r="P38" s="290"/>
      <c r="Q38" s="290"/>
      <c r="R38" s="290"/>
      <c r="S38" s="290"/>
      <c r="T38" s="290"/>
      <c r="U38" s="290"/>
      <c r="V38" s="290"/>
      <c r="W38" s="291"/>
      <c r="X38" s="290"/>
      <c r="Y38" s="291"/>
      <c r="Z38" s="290"/>
      <c r="AA38" s="290"/>
      <c r="AB38" s="292"/>
      <c r="AC38" s="292"/>
      <c r="AD38" s="292"/>
    </row>
    <row r="39" spans="1:30" ht="17" customHeight="1" x14ac:dyDescent="0.2">
      <c r="A39" s="290"/>
      <c r="B39" s="290"/>
      <c r="C39" s="290"/>
      <c r="D39" s="290"/>
      <c r="E39" s="290"/>
      <c r="F39" s="290"/>
      <c r="G39" s="290"/>
      <c r="H39" s="290"/>
      <c r="I39" s="380" t="s">
        <v>253</v>
      </c>
      <c r="J39" s="381">
        <f>J35+J37</f>
        <v>61100000</v>
      </c>
      <c r="K39" s="290"/>
      <c r="L39" s="290"/>
      <c r="M39" s="290"/>
      <c r="N39" s="290"/>
      <c r="O39" s="290"/>
      <c r="P39" s="290"/>
      <c r="Q39" s="290"/>
      <c r="R39" s="290"/>
      <c r="S39" s="290"/>
      <c r="T39" s="290"/>
      <c r="U39" s="290"/>
      <c r="V39" s="290"/>
      <c r="W39" s="291"/>
      <c r="X39" s="290"/>
      <c r="Y39" s="291"/>
      <c r="Z39" s="290"/>
      <c r="AA39" s="382">
        <f>SUM(AA35:AA37)</f>
        <v>2215.3798511430091</v>
      </c>
      <c r="AB39" s="381">
        <f>J39/AA39</f>
        <v>27579.920422439474</v>
      </c>
      <c r="AC39" s="381">
        <f>SUM(AC35:AC37)</f>
        <v>177230388.09144071</v>
      </c>
      <c r="AD39" s="380"/>
    </row>
    <row r="40" spans="1:30" ht="15.75" customHeight="1" x14ac:dyDescent="0.15">
      <c r="A40" s="290"/>
      <c r="B40" s="290"/>
      <c r="C40" s="290"/>
      <c r="D40" s="290"/>
      <c r="E40" s="290"/>
      <c r="F40" s="290"/>
      <c r="G40" s="290"/>
      <c r="H40" s="290"/>
      <c r="I40" s="290"/>
      <c r="J40" s="290"/>
      <c r="K40" s="290"/>
      <c r="L40" s="290"/>
      <c r="M40" s="290"/>
      <c r="N40" s="290"/>
      <c r="O40" s="290"/>
      <c r="P40" s="290"/>
      <c r="Q40" s="290"/>
      <c r="R40" s="290"/>
      <c r="S40" s="290"/>
      <c r="T40" s="290"/>
      <c r="U40" s="290"/>
      <c r="V40" s="290"/>
      <c r="W40" s="291"/>
      <c r="X40" s="290"/>
      <c r="Y40" s="291"/>
      <c r="Z40" s="290"/>
      <c r="AA40" s="290"/>
      <c r="AB40" s="292"/>
      <c r="AC40" s="292"/>
      <c r="AD40" s="292"/>
    </row>
    <row r="41" spans="1:30" ht="15.75" customHeight="1" x14ac:dyDescent="0.15">
      <c r="A41" s="290"/>
      <c r="B41" s="290"/>
      <c r="C41" s="290"/>
      <c r="D41" s="290"/>
      <c r="E41" s="290"/>
      <c r="F41" s="290"/>
      <c r="G41" s="290"/>
      <c r="H41" s="290"/>
      <c r="I41" s="290"/>
      <c r="J41" s="290"/>
      <c r="K41" s="290"/>
      <c r="L41" s="290"/>
      <c r="M41" s="290"/>
      <c r="N41" s="290"/>
      <c r="O41" s="290"/>
      <c r="P41" s="290"/>
      <c r="Q41" s="290"/>
      <c r="R41" s="290"/>
      <c r="S41" s="290"/>
      <c r="T41" s="290"/>
      <c r="U41" s="290"/>
      <c r="V41" s="290"/>
      <c r="W41" s="291"/>
      <c r="X41" s="290"/>
      <c r="Y41" s="291"/>
      <c r="Z41" s="290"/>
      <c r="AA41" s="290"/>
      <c r="AB41" s="292"/>
      <c r="AC41" s="292"/>
      <c r="AD41" s="292"/>
    </row>
    <row r="42" spans="1:30" ht="15.75" customHeight="1" x14ac:dyDescent="0.15">
      <c r="A42" s="290"/>
      <c r="B42" s="290"/>
      <c r="C42" s="290"/>
      <c r="D42" s="290"/>
      <c r="E42" s="290"/>
      <c r="F42" s="290"/>
      <c r="G42" s="290"/>
      <c r="H42" s="290"/>
      <c r="I42" s="290"/>
      <c r="J42" s="290"/>
      <c r="K42" s="325" t="s">
        <v>215</v>
      </c>
      <c r="L42" s="290"/>
      <c r="M42" s="290"/>
      <c r="N42" s="290"/>
      <c r="O42" s="290"/>
      <c r="P42" s="290"/>
      <c r="Q42" s="290"/>
      <c r="R42" s="290"/>
      <c r="S42" s="290"/>
      <c r="T42" s="290"/>
      <c r="U42" s="290"/>
      <c r="V42" s="290"/>
      <c r="W42" s="291"/>
      <c r="X42" s="290"/>
      <c r="Y42" s="291"/>
      <c r="Z42" s="290"/>
      <c r="AA42" s="290"/>
      <c r="AB42" s="292"/>
      <c r="AC42" s="292"/>
      <c r="AD42" s="292"/>
    </row>
    <row r="43" spans="1:30" ht="15.75" customHeight="1" x14ac:dyDescent="0.15">
      <c r="A43" s="290"/>
      <c r="B43" s="293" t="s">
        <v>204</v>
      </c>
      <c r="C43" s="294" t="s">
        <v>205</v>
      </c>
      <c r="D43" s="326" t="s">
        <v>254</v>
      </c>
      <c r="E43" s="296" t="s">
        <v>217</v>
      </c>
      <c r="F43" s="296" t="s">
        <v>255</v>
      </c>
      <c r="G43" s="296"/>
      <c r="H43" s="296"/>
      <c r="I43" s="296" t="s">
        <v>219</v>
      </c>
      <c r="J43" s="296" t="s">
        <v>256</v>
      </c>
      <c r="K43" s="296"/>
      <c r="L43" s="296"/>
      <c r="M43" s="296"/>
      <c r="N43" s="296"/>
      <c r="O43" s="296"/>
      <c r="P43" s="296"/>
      <c r="Q43" s="296"/>
      <c r="R43" s="296"/>
      <c r="S43" s="296"/>
      <c r="T43" s="296"/>
      <c r="U43" s="296"/>
      <c r="V43" s="296"/>
      <c r="W43" s="297"/>
      <c r="X43" s="296"/>
      <c r="Y43" s="297"/>
      <c r="Z43" s="296"/>
      <c r="AA43" s="329" t="s">
        <v>221</v>
      </c>
      <c r="AB43" s="298"/>
      <c r="AC43" s="298"/>
      <c r="AD43" s="299"/>
    </row>
    <row r="44" spans="1:30" ht="15.75" customHeight="1" x14ac:dyDescent="0.15">
      <c r="A44" s="303"/>
      <c r="B44" s="300"/>
      <c r="C44" s="300" t="s">
        <v>207</v>
      </c>
      <c r="D44" s="330" t="s">
        <v>226</v>
      </c>
      <c r="E44" s="302" t="s">
        <v>257</v>
      </c>
      <c r="F44" s="303" t="s">
        <v>224</v>
      </c>
      <c r="G44" s="303" t="s">
        <v>22</v>
      </c>
      <c r="H44" s="303" t="s">
        <v>227</v>
      </c>
      <c r="I44" s="331">
        <f t="shared" ref="I44:I54" si="8">J44/$J$60</f>
        <v>4.2016806722689079E-2</v>
      </c>
      <c r="J44" s="305">
        <v>1000000</v>
      </c>
      <c r="K44" s="306"/>
      <c r="L44" s="307"/>
      <c r="M44" s="307"/>
      <c r="N44" s="308"/>
      <c r="O44" s="309"/>
      <c r="P44" s="334">
        <f t="shared" ref="P44:P51" si="9">J44/Q44*1000</f>
        <v>2631578.9473684211</v>
      </c>
      <c r="Q44" s="305">
        <v>380</v>
      </c>
      <c r="R44" s="333">
        <v>1.1000000000000001</v>
      </c>
      <c r="S44" s="334">
        <f t="shared" ref="S44:S53" si="10">P44/R44</f>
        <v>2392344.4976076554</v>
      </c>
      <c r="T44" s="306"/>
      <c r="U44" s="335"/>
      <c r="V44" s="335"/>
      <c r="W44" s="304">
        <v>8.0000000000000002E-3</v>
      </c>
      <c r="X44" s="332">
        <f t="shared" ref="X44:X53" si="11">W44*S44</f>
        <v>19138.755980861242</v>
      </c>
      <c r="Y44" s="304">
        <v>2.0000000000000001E-4</v>
      </c>
      <c r="Z44" s="338"/>
      <c r="AA44" s="343">
        <f t="shared" ref="AA44:AA53" si="12">X44*Y44</f>
        <v>3.8277511961722488</v>
      </c>
      <c r="AB44" s="340">
        <f t="shared" ref="AB44:AB54" si="13">J44/AA44</f>
        <v>261250</v>
      </c>
      <c r="AC44" s="340">
        <f t="shared" ref="AC44:AC54" si="14">AA44*80000</f>
        <v>306220.09569377988</v>
      </c>
      <c r="AD44" s="341">
        <f t="shared" ref="AD44:AD54" si="15">AC44/J44</f>
        <v>0.30622009569377989</v>
      </c>
    </row>
    <row r="45" spans="1:30" ht="15.75" customHeight="1" x14ac:dyDescent="0.15">
      <c r="A45" s="303"/>
      <c r="B45" s="300"/>
      <c r="C45" s="300" t="s">
        <v>207</v>
      </c>
      <c r="D45" s="330" t="s">
        <v>228</v>
      </c>
      <c r="E45" s="302" t="s">
        <v>257</v>
      </c>
      <c r="F45" s="303" t="s">
        <v>224</v>
      </c>
      <c r="G45" s="303" t="s">
        <v>22</v>
      </c>
      <c r="H45" s="303" t="s">
        <v>48</v>
      </c>
      <c r="I45" s="331">
        <f t="shared" si="8"/>
        <v>4.2016806722689079E-2</v>
      </c>
      <c r="J45" s="305">
        <v>1000000</v>
      </c>
      <c r="K45" s="306"/>
      <c r="L45" s="307"/>
      <c r="M45" s="307"/>
      <c r="N45" s="308"/>
      <c r="O45" s="309"/>
      <c r="P45" s="334">
        <f t="shared" si="9"/>
        <v>2631578.9473684211</v>
      </c>
      <c r="Q45" s="305">
        <v>380</v>
      </c>
      <c r="R45" s="333">
        <v>1.1000000000000001</v>
      </c>
      <c r="S45" s="334">
        <f t="shared" si="10"/>
        <v>2392344.4976076554</v>
      </c>
      <c r="T45" s="306"/>
      <c r="U45" s="306"/>
      <c r="V45" s="306"/>
      <c r="W45" s="304">
        <v>8.0000000000000002E-3</v>
      </c>
      <c r="X45" s="332">
        <f t="shared" si="11"/>
        <v>19138.755980861242</v>
      </c>
      <c r="Y45" s="304">
        <v>2.0000000000000001E-4</v>
      </c>
      <c r="Z45" s="342"/>
      <c r="AA45" s="343">
        <f t="shared" si="12"/>
        <v>3.8277511961722488</v>
      </c>
      <c r="AB45" s="340">
        <f t="shared" si="13"/>
        <v>261250</v>
      </c>
      <c r="AC45" s="340">
        <f t="shared" si="14"/>
        <v>306220.09569377988</v>
      </c>
      <c r="AD45" s="344">
        <f t="shared" si="15"/>
        <v>0.30622009569377989</v>
      </c>
    </row>
    <row r="46" spans="1:30" ht="15.75" customHeight="1" x14ac:dyDescent="0.15">
      <c r="A46" s="303"/>
      <c r="B46" s="312" t="s">
        <v>213</v>
      </c>
      <c r="C46" s="300"/>
      <c r="D46" s="330" t="s">
        <v>229</v>
      </c>
      <c r="E46" s="302" t="s">
        <v>257</v>
      </c>
      <c r="F46" s="303" t="s">
        <v>224</v>
      </c>
      <c r="G46" s="303" t="s">
        <v>22</v>
      </c>
      <c r="H46" s="303" t="s">
        <v>65</v>
      </c>
      <c r="I46" s="331">
        <f t="shared" si="8"/>
        <v>4.2016806722689079E-2</v>
      </c>
      <c r="J46" s="305">
        <v>1000000</v>
      </c>
      <c r="K46" s="306"/>
      <c r="L46" s="307"/>
      <c r="M46" s="307"/>
      <c r="N46" s="308"/>
      <c r="O46" s="309"/>
      <c r="P46" s="334">
        <f t="shared" si="9"/>
        <v>2222222.222222222</v>
      </c>
      <c r="Q46" s="305">
        <v>450</v>
      </c>
      <c r="R46" s="333">
        <v>1.1000000000000001</v>
      </c>
      <c r="S46" s="334">
        <f t="shared" si="10"/>
        <v>2020202.02020202</v>
      </c>
      <c r="T46" s="306"/>
      <c r="U46" s="306"/>
      <c r="V46" s="306"/>
      <c r="W46" s="304">
        <v>4.0000000000000001E-3</v>
      </c>
      <c r="X46" s="332">
        <f t="shared" si="11"/>
        <v>8080.8080808080804</v>
      </c>
      <c r="Y46" s="304">
        <v>2.0000000000000001E-4</v>
      </c>
      <c r="Z46" s="342"/>
      <c r="AA46" s="343">
        <f t="shared" si="12"/>
        <v>1.6161616161616161</v>
      </c>
      <c r="AB46" s="340">
        <f t="shared" si="13"/>
        <v>618750</v>
      </c>
      <c r="AC46" s="340">
        <f t="shared" si="14"/>
        <v>129292.92929292929</v>
      </c>
      <c r="AD46" s="344">
        <f t="shared" si="15"/>
        <v>0.12929292929292929</v>
      </c>
    </row>
    <row r="47" spans="1:30" ht="15.75" customHeight="1" x14ac:dyDescent="0.15">
      <c r="A47" s="303"/>
      <c r="B47" s="312" t="s">
        <v>213</v>
      </c>
      <c r="C47" s="300"/>
      <c r="D47" s="330" t="s">
        <v>230</v>
      </c>
      <c r="E47" s="302" t="s">
        <v>257</v>
      </c>
      <c r="F47" s="303" t="s">
        <v>224</v>
      </c>
      <c r="G47" s="303" t="s">
        <v>22</v>
      </c>
      <c r="H47" s="303" t="s">
        <v>58</v>
      </c>
      <c r="I47" s="331">
        <f t="shared" si="8"/>
        <v>4.2016806722689079E-2</v>
      </c>
      <c r="J47" s="305">
        <v>1000000</v>
      </c>
      <c r="K47" s="306"/>
      <c r="L47" s="307"/>
      <c r="M47" s="307"/>
      <c r="N47" s="308"/>
      <c r="O47" s="309"/>
      <c r="P47" s="334">
        <f t="shared" si="9"/>
        <v>2222222.222222222</v>
      </c>
      <c r="Q47" s="305">
        <v>450</v>
      </c>
      <c r="R47" s="333">
        <v>1.1000000000000001</v>
      </c>
      <c r="S47" s="334">
        <f t="shared" si="10"/>
        <v>2020202.02020202</v>
      </c>
      <c r="T47" s="306"/>
      <c r="U47" s="306"/>
      <c r="V47" s="306"/>
      <c r="W47" s="304">
        <v>5.0000000000000001E-3</v>
      </c>
      <c r="X47" s="332">
        <f t="shared" si="11"/>
        <v>10101.010101010101</v>
      </c>
      <c r="Y47" s="304">
        <v>2.0000000000000001E-4</v>
      </c>
      <c r="Z47" s="342"/>
      <c r="AA47" s="343">
        <f t="shared" si="12"/>
        <v>2.0202020202020203</v>
      </c>
      <c r="AB47" s="340">
        <f t="shared" si="13"/>
        <v>494999.99999999994</v>
      </c>
      <c r="AC47" s="340">
        <f t="shared" si="14"/>
        <v>161616.16161616164</v>
      </c>
      <c r="AD47" s="344">
        <f t="shared" si="15"/>
        <v>0.16161616161616163</v>
      </c>
    </row>
    <row r="48" spans="1:30" ht="15.75" customHeight="1" x14ac:dyDescent="0.15">
      <c r="A48" s="290"/>
      <c r="B48" s="300" t="s">
        <v>207</v>
      </c>
      <c r="C48" s="300"/>
      <c r="D48" s="301" t="s">
        <v>231</v>
      </c>
      <c r="E48" s="302" t="s">
        <v>257</v>
      </c>
      <c r="F48" s="303" t="s">
        <v>224</v>
      </c>
      <c r="G48" s="303" t="s">
        <v>22</v>
      </c>
      <c r="H48" s="303" t="s">
        <v>227</v>
      </c>
      <c r="I48" s="331">
        <f t="shared" si="8"/>
        <v>3.3613445378151259E-2</v>
      </c>
      <c r="J48" s="305">
        <v>800000</v>
      </c>
      <c r="K48" s="306"/>
      <c r="L48" s="307"/>
      <c r="M48" s="307"/>
      <c r="N48" s="308"/>
      <c r="O48" s="309"/>
      <c r="P48" s="334">
        <f t="shared" si="9"/>
        <v>2105263.1578947366</v>
      </c>
      <c r="Q48" s="305">
        <v>380</v>
      </c>
      <c r="R48" s="333">
        <v>1.1000000000000001</v>
      </c>
      <c r="S48" s="334">
        <f t="shared" si="10"/>
        <v>1913875.5980861241</v>
      </c>
      <c r="T48" s="306"/>
      <c r="U48" s="306"/>
      <c r="V48" s="306"/>
      <c r="W48" s="304">
        <v>8.0000000000000002E-3</v>
      </c>
      <c r="X48" s="332">
        <f t="shared" si="11"/>
        <v>15311.004784688992</v>
      </c>
      <c r="Y48" s="304">
        <v>2.0000000000000001E-4</v>
      </c>
      <c r="Z48" s="342"/>
      <c r="AA48" s="343">
        <f t="shared" si="12"/>
        <v>3.0622009569377986</v>
      </c>
      <c r="AB48" s="340">
        <f t="shared" si="13"/>
        <v>261250.00000000003</v>
      </c>
      <c r="AC48" s="340">
        <f t="shared" si="14"/>
        <v>244976.0765550239</v>
      </c>
      <c r="AD48" s="344">
        <f t="shared" si="15"/>
        <v>0.30622009569377989</v>
      </c>
    </row>
    <row r="49" spans="1:30" ht="15.75" customHeight="1" x14ac:dyDescent="0.15">
      <c r="A49" s="290"/>
      <c r="B49" s="300" t="s">
        <v>207</v>
      </c>
      <c r="C49" s="300"/>
      <c r="D49" s="301" t="s">
        <v>232</v>
      </c>
      <c r="E49" s="302" t="s">
        <v>257</v>
      </c>
      <c r="F49" s="303" t="s">
        <v>224</v>
      </c>
      <c r="G49" s="303" t="s">
        <v>22</v>
      </c>
      <c r="H49" s="303" t="s">
        <v>58</v>
      </c>
      <c r="I49" s="331">
        <f t="shared" si="8"/>
        <v>2.100840336134454E-2</v>
      </c>
      <c r="J49" s="305">
        <v>500000</v>
      </c>
      <c r="K49" s="306"/>
      <c r="L49" s="307"/>
      <c r="M49" s="307"/>
      <c r="N49" s="308"/>
      <c r="O49" s="309"/>
      <c r="P49" s="334">
        <f t="shared" si="9"/>
        <v>1111111.111111111</v>
      </c>
      <c r="Q49" s="305">
        <v>450</v>
      </c>
      <c r="R49" s="333">
        <v>1.1000000000000001</v>
      </c>
      <c r="S49" s="334">
        <f t="shared" si="10"/>
        <v>1010101.01010101</v>
      </c>
      <c r="T49" s="306"/>
      <c r="U49" s="306"/>
      <c r="V49" s="306"/>
      <c r="W49" s="304">
        <v>5.0000000000000001E-3</v>
      </c>
      <c r="X49" s="332">
        <f t="shared" si="11"/>
        <v>5050.5050505050503</v>
      </c>
      <c r="Y49" s="304">
        <v>2.0000000000000001E-4</v>
      </c>
      <c r="Z49" s="342"/>
      <c r="AA49" s="343">
        <f t="shared" si="12"/>
        <v>1.0101010101010102</v>
      </c>
      <c r="AB49" s="340">
        <f t="shared" si="13"/>
        <v>494999.99999999994</v>
      </c>
      <c r="AC49" s="340">
        <f t="shared" si="14"/>
        <v>80808.08080808082</v>
      </c>
      <c r="AD49" s="344">
        <f t="shared" si="15"/>
        <v>0.16161616161616163</v>
      </c>
    </row>
    <row r="50" spans="1:30" ht="15.75" customHeight="1" x14ac:dyDescent="0.15">
      <c r="A50" s="303"/>
      <c r="B50" s="300"/>
      <c r="C50" s="300"/>
      <c r="D50" s="301" t="s">
        <v>233</v>
      </c>
      <c r="E50" s="302" t="s">
        <v>257</v>
      </c>
      <c r="F50" s="303" t="s">
        <v>224</v>
      </c>
      <c r="G50" s="303" t="s">
        <v>22</v>
      </c>
      <c r="H50" s="303" t="s">
        <v>65</v>
      </c>
      <c r="I50" s="331">
        <f t="shared" si="8"/>
        <v>6.3025210084033612E-2</v>
      </c>
      <c r="J50" s="305">
        <v>1500000</v>
      </c>
      <c r="K50" s="306"/>
      <c r="L50" s="307"/>
      <c r="M50" s="307"/>
      <c r="N50" s="308"/>
      <c r="O50" s="309"/>
      <c r="P50" s="334">
        <f t="shared" si="9"/>
        <v>3333333.3333333335</v>
      </c>
      <c r="Q50" s="305">
        <v>450</v>
      </c>
      <c r="R50" s="333">
        <v>1.1000000000000001</v>
      </c>
      <c r="S50" s="334">
        <f t="shared" si="10"/>
        <v>3030303.0303030303</v>
      </c>
      <c r="T50" s="306"/>
      <c r="U50" s="306"/>
      <c r="V50" s="306"/>
      <c r="W50" s="304">
        <v>0.01</v>
      </c>
      <c r="X50" s="332">
        <f t="shared" si="11"/>
        <v>30303.030303030304</v>
      </c>
      <c r="Y50" s="304">
        <v>2.0000000000000001E-4</v>
      </c>
      <c r="Z50" s="342"/>
      <c r="AA50" s="343">
        <f t="shared" si="12"/>
        <v>6.0606060606060614</v>
      </c>
      <c r="AB50" s="340">
        <f t="shared" si="13"/>
        <v>247499.99999999997</v>
      </c>
      <c r="AC50" s="340">
        <f t="shared" si="14"/>
        <v>484848.48484848492</v>
      </c>
      <c r="AD50" s="344">
        <f t="shared" si="15"/>
        <v>0.32323232323232326</v>
      </c>
    </row>
    <row r="51" spans="1:30" ht="15.75" customHeight="1" x14ac:dyDescent="0.15">
      <c r="A51" s="303"/>
      <c r="B51" s="300"/>
      <c r="C51" s="356"/>
      <c r="D51" s="301" t="s">
        <v>234</v>
      </c>
      <c r="E51" s="302" t="s">
        <v>257</v>
      </c>
      <c r="F51" s="303" t="s">
        <v>224</v>
      </c>
      <c r="G51" s="345" t="s">
        <v>22</v>
      </c>
      <c r="H51" s="345" t="s">
        <v>227</v>
      </c>
      <c r="I51" s="331">
        <f t="shared" si="8"/>
        <v>4.2016806722689079E-2</v>
      </c>
      <c r="J51" s="305">
        <v>1000000</v>
      </c>
      <c r="K51" s="306"/>
      <c r="L51" s="307"/>
      <c r="M51" s="307"/>
      <c r="N51" s="308"/>
      <c r="O51" s="309"/>
      <c r="P51" s="334">
        <f t="shared" si="9"/>
        <v>2631578.9473684211</v>
      </c>
      <c r="Q51" s="305">
        <v>380</v>
      </c>
      <c r="R51" s="333">
        <v>1.1000000000000001</v>
      </c>
      <c r="S51" s="334">
        <f t="shared" si="10"/>
        <v>2392344.4976076554</v>
      </c>
      <c r="T51" s="306"/>
      <c r="U51" s="306"/>
      <c r="V51" s="306"/>
      <c r="W51" s="304">
        <v>8.0000000000000002E-3</v>
      </c>
      <c r="X51" s="332">
        <f t="shared" si="11"/>
        <v>19138.755980861242</v>
      </c>
      <c r="Y51" s="304">
        <v>2.0000000000000001E-4</v>
      </c>
      <c r="Z51" s="342"/>
      <c r="AA51" s="343">
        <f t="shared" si="12"/>
        <v>3.8277511961722488</v>
      </c>
      <c r="AB51" s="340">
        <f t="shared" si="13"/>
        <v>261250</v>
      </c>
      <c r="AC51" s="340">
        <f t="shared" si="14"/>
        <v>306220.09569377988</v>
      </c>
      <c r="AD51" s="344">
        <f t="shared" si="15"/>
        <v>0.30622009569377989</v>
      </c>
    </row>
    <row r="52" spans="1:30" ht="15.75" customHeight="1" x14ac:dyDescent="0.15">
      <c r="A52" s="303"/>
      <c r="B52" s="300"/>
      <c r="C52" s="300"/>
      <c r="D52" s="301" t="s">
        <v>236</v>
      </c>
      <c r="E52" s="302" t="s">
        <v>257</v>
      </c>
      <c r="F52" s="303" t="s">
        <v>237</v>
      </c>
      <c r="G52" s="303" t="s">
        <v>19</v>
      </c>
      <c r="H52" s="303" t="s">
        <v>65</v>
      </c>
      <c r="I52" s="331">
        <f t="shared" si="8"/>
        <v>0.12605042016806722</v>
      </c>
      <c r="J52" s="305">
        <v>3000000</v>
      </c>
      <c r="K52" s="346">
        <v>5</v>
      </c>
      <c r="L52" s="334">
        <f>J52/K52</f>
        <v>600000</v>
      </c>
      <c r="M52" s="334">
        <f>L52/N52</f>
        <v>2</v>
      </c>
      <c r="N52" s="347">
        <v>300000</v>
      </c>
      <c r="O52" s="348">
        <v>0.2</v>
      </c>
      <c r="P52" s="334">
        <f>L52*O52</f>
        <v>120000</v>
      </c>
      <c r="Q52" s="305">
        <f>J52*1000/P52</f>
        <v>25000</v>
      </c>
      <c r="R52" s="333">
        <v>1.1000000000000001</v>
      </c>
      <c r="S52" s="334">
        <f t="shared" si="10"/>
        <v>109090.90909090909</v>
      </c>
      <c r="T52" s="306"/>
      <c r="U52" s="304">
        <v>5.0000000000000001E-3</v>
      </c>
      <c r="V52" s="332">
        <f>S52*U52</f>
        <v>545.4545454545455</v>
      </c>
      <c r="W52" s="304">
        <v>1.4999999999999999E-2</v>
      </c>
      <c r="X52" s="332">
        <f t="shared" si="11"/>
        <v>1636.3636363636363</v>
      </c>
      <c r="Y52" s="304">
        <v>2.5000000000000001E-2</v>
      </c>
      <c r="Z52" s="342"/>
      <c r="AA52" s="343">
        <f t="shared" si="12"/>
        <v>40.909090909090907</v>
      </c>
      <c r="AB52" s="340">
        <f t="shared" si="13"/>
        <v>73333.333333333343</v>
      </c>
      <c r="AC52" s="340">
        <f t="shared" si="14"/>
        <v>3272727.2727272725</v>
      </c>
      <c r="AD52" s="344">
        <f t="shared" si="15"/>
        <v>1.0909090909090908</v>
      </c>
    </row>
    <row r="53" spans="1:30" ht="15.75" customHeight="1" x14ac:dyDescent="0.15">
      <c r="A53" s="303"/>
      <c r="B53" s="300"/>
      <c r="C53" s="300"/>
      <c r="D53" s="301" t="s">
        <v>239</v>
      </c>
      <c r="E53" s="302" t="s">
        <v>257</v>
      </c>
      <c r="F53" s="303" t="s">
        <v>240</v>
      </c>
      <c r="G53" s="345" t="s">
        <v>19</v>
      </c>
      <c r="H53" s="345" t="s">
        <v>227</v>
      </c>
      <c r="I53" s="331">
        <f t="shared" si="8"/>
        <v>6.3025210084033612E-2</v>
      </c>
      <c r="J53" s="305">
        <v>1500000</v>
      </c>
      <c r="K53" s="346">
        <v>4</v>
      </c>
      <c r="L53" s="334">
        <f>J53/K53</f>
        <v>375000</v>
      </c>
      <c r="M53" s="334">
        <f>L53/N53</f>
        <v>7.5</v>
      </c>
      <c r="N53" s="347">
        <v>50000</v>
      </c>
      <c r="O53" s="348">
        <v>0.2</v>
      </c>
      <c r="P53" s="334">
        <f>L53*O53</f>
        <v>75000</v>
      </c>
      <c r="Q53" s="305">
        <f>J53*1000/P53</f>
        <v>20000</v>
      </c>
      <c r="R53" s="333">
        <v>1.1000000000000001</v>
      </c>
      <c r="S53" s="334">
        <f t="shared" si="10"/>
        <v>68181.818181818177</v>
      </c>
      <c r="T53" s="306"/>
      <c r="U53" s="304">
        <v>5.0000000000000001E-3</v>
      </c>
      <c r="V53" s="332">
        <f>S53*U53</f>
        <v>340.90909090909088</v>
      </c>
      <c r="W53" s="304">
        <v>0.01</v>
      </c>
      <c r="X53" s="332">
        <f t="shared" si="11"/>
        <v>681.81818181818176</v>
      </c>
      <c r="Y53" s="304">
        <v>3.0000000000000001E-3</v>
      </c>
      <c r="Z53" s="342"/>
      <c r="AA53" s="343">
        <f t="shared" si="12"/>
        <v>2.0454545454545454</v>
      </c>
      <c r="AB53" s="340">
        <f t="shared" si="13"/>
        <v>733333.33333333337</v>
      </c>
      <c r="AC53" s="340">
        <f t="shared" si="14"/>
        <v>163636.36363636365</v>
      </c>
      <c r="AD53" s="344">
        <f t="shared" si="15"/>
        <v>0.1090909090909091</v>
      </c>
    </row>
    <row r="54" spans="1:30" ht="15.75" customHeight="1" x14ac:dyDescent="0.15">
      <c r="A54" s="290"/>
      <c r="B54" s="300"/>
      <c r="C54" s="356"/>
      <c r="D54" s="301" t="s">
        <v>244</v>
      </c>
      <c r="E54" s="302" t="s">
        <v>257</v>
      </c>
      <c r="F54" s="303" t="s">
        <v>243</v>
      </c>
      <c r="G54" s="345" t="s">
        <v>25</v>
      </c>
      <c r="H54" s="345" t="s">
        <v>245</v>
      </c>
      <c r="I54" s="331">
        <f t="shared" si="8"/>
        <v>4.2016806722689079E-2</v>
      </c>
      <c r="J54" s="305">
        <v>1000000</v>
      </c>
      <c r="K54" s="306"/>
      <c r="L54" s="306"/>
      <c r="M54" s="306"/>
      <c r="N54" s="306"/>
      <c r="O54" s="306"/>
      <c r="P54" s="306"/>
      <c r="Q54" s="306"/>
      <c r="R54" s="306"/>
      <c r="S54" s="306"/>
      <c r="T54" s="306"/>
      <c r="U54" s="306"/>
      <c r="V54" s="306"/>
      <c r="W54" s="310"/>
      <c r="X54" s="306"/>
      <c r="Y54" s="310"/>
      <c r="Z54" s="306"/>
      <c r="AA54" s="332">
        <v>100</v>
      </c>
      <c r="AB54" s="340">
        <f t="shared" si="13"/>
        <v>10000</v>
      </c>
      <c r="AC54" s="340">
        <f t="shared" si="14"/>
        <v>8000000</v>
      </c>
      <c r="AD54" s="344">
        <f t="shared" si="15"/>
        <v>8</v>
      </c>
    </row>
    <row r="55" spans="1:30" ht="15.75" customHeight="1" x14ac:dyDescent="0.15">
      <c r="A55" s="290"/>
      <c r="B55" s="432" t="s">
        <v>258</v>
      </c>
      <c r="C55" s="433"/>
      <c r="D55" s="433"/>
      <c r="E55" s="306"/>
      <c r="F55" s="306"/>
      <c r="G55" s="306"/>
      <c r="H55" s="306"/>
      <c r="I55" s="306"/>
      <c r="J55" s="306"/>
      <c r="K55" s="306"/>
      <c r="L55" s="306"/>
      <c r="M55" s="306"/>
      <c r="N55" s="306"/>
      <c r="O55" s="306"/>
      <c r="P55" s="306"/>
      <c r="Q55" s="306"/>
      <c r="R55" s="306"/>
      <c r="S55" s="306"/>
      <c r="T55" s="306"/>
      <c r="U55" s="306"/>
      <c r="V55" s="306"/>
      <c r="W55" s="310"/>
      <c r="X55" s="306"/>
      <c r="Y55" s="310"/>
      <c r="Z55" s="306"/>
      <c r="AA55" s="306"/>
      <c r="AB55" s="306"/>
      <c r="AC55" s="306"/>
      <c r="AD55" s="306"/>
    </row>
    <row r="56" spans="1:30" ht="15.75" customHeight="1" x14ac:dyDescent="0.15">
      <c r="A56" s="290"/>
      <c r="B56" s="312" t="s">
        <v>213</v>
      </c>
      <c r="C56" s="356"/>
      <c r="D56" s="383" t="s">
        <v>259</v>
      </c>
      <c r="E56" s="302" t="s">
        <v>257</v>
      </c>
      <c r="F56" s="303" t="s">
        <v>224</v>
      </c>
      <c r="G56" s="303" t="s">
        <v>22</v>
      </c>
      <c r="H56" s="303" t="s">
        <v>260</v>
      </c>
      <c r="I56" s="331">
        <f>J56/$J$60</f>
        <v>6.3025210084033612E-2</v>
      </c>
      <c r="J56" s="305">
        <v>1500000</v>
      </c>
      <c r="K56" s="349">
        <v>4</v>
      </c>
      <c r="L56" s="350">
        <f>J56/K56</f>
        <v>375000</v>
      </c>
      <c r="M56" s="350">
        <f>L56/N56</f>
        <v>0.9375</v>
      </c>
      <c r="N56" s="351">
        <v>400000</v>
      </c>
      <c r="O56" s="352">
        <v>0.6</v>
      </c>
      <c r="P56" s="350">
        <f>N56*O56</f>
        <v>240000</v>
      </c>
      <c r="Q56" s="354">
        <f>J56*1000/P56</f>
        <v>6250</v>
      </c>
      <c r="R56" s="355">
        <v>1.1000000000000001</v>
      </c>
      <c r="S56" s="350">
        <f>P56/R56</f>
        <v>218181.81818181818</v>
      </c>
      <c r="T56" s="306"/>
      <c r="U56" s="306"/>
      <c r="V56" s="306"/>
      <c r="W56" s="310"/>
      <c r="X56" s="306"/>
      <c r="Y56" s="310"/>
      <c r="Z56" s="306"/>
      <c r="AA56" s="306"/>
      <c r="AB56" s="306"/>
      <c r="AC56" s="306"/>
      <c r="AD56" s="306"/>
    </row>
    <row r="57" spans="1:30" ht="15.75" customHeight="1" x14ac:dyDescent="0.15">
      <c r="A57" s="290"/>
      <c r="B57" s="312" t="s">
        <v>213</v>
      </c>
      <c r="C57" s="356"/>
      <c r="D57" s="384" t="s">
        <v>261</v>
      </c>
      <c r="E57" s="302" t="s">
        <v>257</v>
      </c>
      <c r="F57" s="303" t="s">
        <v>224</v>
      </c>
      <c r="G57" s="303" t="s">
        <v>25</v>
      </c>
      <c r="H57" s="303" t="s">
        <v>262</v>
      </c>
      <c r="I57" s="331">
        <f>J57/$J$60</f>
        <v>0.25210084033613445</v>
      </c>
      <c r="J57" s="385">
        <v>6000000</v>
      </c>
      <c r="K57" s="306"/>
      <c r="L57" s="306"/>
      <c r="M57" s="306"/>
      <c r="N57" s="306"/>
      <c r="O57" s="306"/>
      <c r="P57" s="386">
        <f>J57/Q57*1000</f>
        <v>3000000</v>
      </c>
      <c r="Q57" s="387">
        <v>2000</v>
      </c>
      <c r="R57" s="355">
        <v>1.1000000000000001</v>
      </c>
      <c r="S57" s="350">
        <f>P57/R57</f>
        <v>2727272.7272727271</v>
      </c>
      <c r="T57" s="306"/>
      <c r="U57" s="306"/>
      <c r="V57" s="306"/>
      <c r="W57" s="310"/>
      <c r="X57" s="306"/>
      <c r="Y57" s="310"/>
      <c r="Z57" s="306"/>
      <c r="AA57" s="306"/>
      <c r="AB57" s="306"/>
      <c r="AC57" s="306"/>
      <c r="AD57" s="306"/>
    </row>
    <row r="58" spans="1:30" ht="15.75" customHeight="1" x14ac:dyDescent="0.15">
      <c r="A58" s="290"/>
      <c r="B58" s="312" t="s">
        <v>213</v>
      </c>
      <c r="C58" s="356"/>
      <c r="D58" s="388" t="s">
        <v>263</v>
      </c>
      <c r="E58" s="302" t="s">
        <v>257</v>
      </c>
      <c r="F58" s="303" t="s">
        <v>224</v>
      </c>
      <c r="G58" s="303" t="s">
        <v>25</v>
      </c>
      <c r="H58" s="303" t="s">
        <v>262</v>
      </c>
      <c r="I58" s="331">
        <f>J58/$J$60</f>
        <v>8.4033613445378158E-2</v>
      </c>
      <c r="J58" s="305">
        <v>2000000</v>
      </c>
      <c r="K58" s="306"/>
      <c r="L58" s="306"/>
      <c r="M58" s="306"/>
      <c r="N58" s="306"/>
      <c r="O58" s="306"/>
      <c r="P58" s="386">
        <f>J58/Q58*1000</f>
        <v>250000</v>
      </c>
      <c r="Q58" s="387">
        <v>8000</v>
      </c>
      <c r="R58" s="355">
        <v>1</v>
      </c>
      <c r="S58" s="350">
        <f>P58/R58</f>
        <v>250000</v>
      </c>
      <c r="T58" s="306"/>
      <c r="U58" s="306"/>
      <c r="V58" s="306"/>
      <c r="W58" s="310"/>
      <c r="X58" s="306"/>
      <c r="Y58" s="310"/>
      <c r="Z58" s="306"/>
      <c r="AA58" s="306"/>
      <c r="AB58" s="306"/>
      <c r="AC58" s="306"/>
      <c r="AD58" s="306"/>
    </row>
    <row r="59" spans="1:30" ht="15.75" customHeight="1" x14ac:dyDescent="0.15">
      <c r="A59" s="290"/>
      <c r="B59" s="300"/>
      <c r="C59" s="356"/>
      <c r="D59" s="357" t="s">
        <v>250</v>
      </c>
      <c r="E59" s="302" t="s">
        <v>257</v>
      </c>
      <c r="F59" s="303"/>
      <c r="G59" s="303"/>
      <c r="H59" s="303"/>
      <c r="I59" s="331">
        <f>J59/$J$60</f>
        <v>4.2016806722689079E-2</v>
      </c>
      <c r="J59" s="361">
        <v>1000000</v>
      </c>
      <c r="K59" s="306"/>
      <c r="L59" s="306"/>
      <c r="M59" s="306"/>
      <c r="N59" s="306"/>
      <c r="O59" s="306"/>
      <c r="P59" s="306"/>
      <c r="Q59" s="306"/>
      <c r="R59" s="306"/>
      <c r="S59" s="306"/>
      <c r="T59" s="306"/>
      <c r="U59" s="306"/>
      <c r="V59" s="306"/>
      <c r="W59" s="310"/>
      <c r="X59" s="306"/>
      <c r="Y59" s="310"/>
      <c r="Z59" s="306"/>
      <c r="AA59" s="306"/>
      <c r="AB59" s="306"/>
      <c r="AC59" s="306"/>
      <c r="AD59" s="306"/>
    </row>
    <row r="60" spans="1:30" ht="15.75" customHeight="1" x14ac:dyDescent="0.15">
      <c r="A60" s="290"/>
      <c r="B60" s="313"/>
      <c r="C60" s="313"/>
      <c r="D60" s="314" t="s">
        <v>27</v>
      </c>
      <c r="E60" s="315"/>
      <c r="F60" s="315"/>
      <c r="G60" s="315"/>
      <c r="H60" s="315"/>
      <c r="I60" s="316">
        <f>SUM(I44:I59)</f>
        <v>0.99999999999999989</v>
      </c>
      <c r="J60" s="317">
        <f>SUM(J44:J59)</f>
        <v>23800000</v>
      </c>
      <c r="K60" s="315"/>
      <c r="L60" s="318"/>
      <c r="M60" s="318">
        <f>SUM(M44:M59)</f>
        <v>10.4375</v>
      </c>
      <c r="N60" s="318"/>
      <c r="O60" s="318"/>
      <c r="P60" s="318">
        <f>SUM(P44:P59)</f>
        <v>22573888.888888888</v>
      </c>
      <c r="Q60" s="317">
        <f>J60/P60*1000</f>
        <v>1054.3154578790638</v>
      </c>
      <c r="R60" s="319">
        <f>P60/T60</f>
        <v>1.3278758169934639</v>
      </c>
      <c r="S60" s="318">
        <f>SUM(S44:S59)</f>
        <v>20544444.44444444</v>
      </c>
      <c r="T60" s="318">
        <v>17000000</v>
      </c>
      <c r="U60" s="342"/>
      <c r="V60" s="342"/>
      <c r="W60" s="304"/>
      <c r="X60" s="342"/>
      <c r="Y60" s="304"/>
      <c r="Z60" s="342"/>
      <c r="AA60" s="318">
        <f>SUM(AA47:AA59)</f>
        <v>158.93540669856458</v>
      </c>
      <c r="AB60" s="317"/>
      <c r="AC60" s="317">
        <f>SUM(AC47:AC59)</f>
        <v>12714832.535885166</v>
      </c>
      <c r="AD60" s="317"/>
    </row>
    <row r="61" spans="1:30" ht="15.75" customHeight="1" x14ac:dyDescent="0.15">
      <c r="A61" s="290"/>
      <c r="B61" s="313"/>
      <c r="C61" s="313"/>
      <c r="D61" s="313"/>
      <c r="E61" s="313"/>
      <c r="F61" s="313"/>
      <c r="G61" s="313"/>
      <c r="H61" s="313"/>
      <c r="I61" s="313"/>
      <c r="J61" s="313"/>
      <c r="K61" s="313"/>
      <c r="L61" s="313"/>
      <c r="M61" s="313"/>
      <c r="N61" s="313"/>
      <c r="O61" s="313"/>
      <c r="P61" s="313"/>
      <c r="Q61" s="313"/>
      <c r="R61" s="313"/>
      <c r="S61" s="313"/>
      <c r="T61" s="290" t="s">
        <v>251</v>
      </c>
      <c r="U61" s="342"/>
      <c r="V61" s="342"/>
      <c r="W61" s="304"/>
      <c r="X61" s="342"/>
      <c r="Y61" s="304"/>
      <c r="Z61" s="342"/>
      <c r="AA61" s="313"/>
      <c r="AB61" s="313"/>
      <c r="AC61" s="313"/>
      <c r="AD61" s="313"/>
    </row>
    <row r="62" spans="1:30" ht="15.75" customHeight="1" x14ac:dyDescent="0.15">
      <c r="A62" s="290"/>
      <c r="B62" s="366"/>
      <c r="C62" s="366" t="s">
        <v>207</v>
      </c>
      <c r="D62" s="367" t="s">
        <v>252</v>
      </c>
      <c r="E62" s="367" t="s">
        <v>257</v>
      </c>
      <c r="F62" s="368" t="s">
        <v>210</v>
      </c>
      <c r="G62" s="368"/>
      <c r="H62" s="368"/>
      <c r="I62" s="369"/>
      <c r="J62" s="370">
        <v>33000000</v>
      </c>
      <c r="K62" s="371"/>
      <c r="L62" s="372"/>
      <c r="M62" s="372"/>
      <c r="N62" s="372"/>
      <c r="O62" s="373"/>
      <c r="P62" s="372"/>
      <c r="Q62" s="374"/>
      <c r="R62" s="375"/>
      <c r="S62" s="372"/>
      <c r="T62" s="376"/>
      <c r="U62" s="376"/>
      <c r="V62" s="376"/>
      <c r="W62" s="377"/>
      <c r="X62" s="376"/>
      <c r="Y62" s="377"/>
      <c r="Z62" s="376"/>
      <c r="AA62" s="372">
        <f>J62/AB62</f>
        <v>2357.1428571428573</v>
      </c>
      <c r="AB62" s="378">
        <v>14000</v>
      </c>
      <c r="AC62" s="389">
        <f>AA62*80000</f>
        <v>188571428.5714286</v>
      </c>
      <c r="AD62" s="379">
        <f>AC62/J62</f>
        <v>5.7142857142857153</v>
      </c>
    </row>
    <row r="63" spans="1:30" ht="15.75" customHeight="1" x14ac:dyDescent="0.15">
      <c r="A63" s="290"/>
      <c r="B63" s="390"/>
      <c r="C63" s="390"/>
      <c r="D63" s="390"/>
      <c r="E63" s="391"/>
      <c r="F63" s="290"/>
      <c r="G63" s="290"/>
      <c r="H63" s="290"/>
      <c r="I63" s="290"/>
      <c r="J63" s="290"/>
      <c r="K63" s="290"/>
      <c r="L63" s="290"/>
      <c r="M63" s="290"/>
      <c r="N63" s="290"/>
      <c r="O63" s="290"/>
      <c r="P63" s="290"/>
      <c r="Q63" s="290"/>
      <c r="R63" s="290"/>
      <c r="S63" s="290"/>
      <c r="T63" s="290"/>
      <c r="U63" s="290"/>
      <c r="V63" s="290"/>
      <c r="W63" s="291"/>
      <c r="X63" s="290"/>
      <c r="Y63" s="291"/>
      <c r="Z63" s="290"/>
      <c r="AA63" s="290"/>
      <c r="AB63" s="292"/>
      <c r="AC63" s="292"/>
      <c r="AD63" s="292"/>
    </row>
    <row r="64" spans="1:30" ht="15.75" customHeight="1" x14ac:dyDescent="0.2">
      <c r="A64" s="290"/>
      <c r="B64" s="390"/>
      <c r="C64" s="390"/>
      <c r="D64" s="390"/>
      <c r="E64" s="391"/>
      <c r="F64" s="290"/>
      <c r="G64" s="290"/>
      <c r="H64" s="290"/>
      <c r="I64" s="380" t="s">
        <v>253</v>
      </c>
      <c r="J64" s="381">
        <f>J60+J62</f>
        <v>56800000</v>
      </c>
      <c r="K64" s="290"/>
      <c r="L64" s="290"/>
      <c r="M64" s="290"/>
      <c r="N64" s="290"/>
      <c r="O64" s="290"/>
      <c r="P64" s="290"/>
      <c r="Q64" s="290"/>
      <c r="R64" s="290"/>
      <c r="S64" s="290"/>
      <c r="T64" s="290"/>
      <c r="U64" s="290"/>
      <c r="V64" s="290"/>
      <c r="W64" s="291"/>
      <c r="X64" s="290"/>
      <c r="Y64" s="291"/>
      <c r="Z64" s="290"/>
      <c r="AA64" s="382">
        <f>SUM(AA60:AA62)</f>
        <v>2516.0782638414221</v>
      </c>
      <c r="AB64" s="381">
        <f>J64/AA64</f>
        <v>22574.814470707526</v>
      </c>
      <c r="AC64" s="381">
        <f>SUM(AC60:AC62)</f>
        <v>201286261.10731375</v>
      </c>
      <c r="AD64" s="380"/>
    </row>
    <row r="65" spans="1:30" ht="15.75" customHeight="1" x14ac:dyDescent="0.15">
      <c r="A65" s="290"/>
      <c r="B65" s="390"/>
      <c r="C65" s="390"/>
      <c r="D65" s="390"/>
      <c r="E65" s="391"/>
      <c r="F65" s="290"/>
      <c r="G65" s="290"/>
      <c r="H65" s="290"/>
      <c r="I65" s="290"/>
      <c r="J65" s="290"/>
      <c r="K65" s="290"/>
      <c r="L65" s="290"/>
      <c r="M65" s="290"/>
      <c r="N65" s="290"/>
      <c r="O65" s="290"/>
      <c r="P65" s="290"/>
      <c r="Q65" s="290"/>
      <c r="R65" s="290"/>
      <c r="S65" s="290"/>
      <c r="T65" s="290"/>
      <c r="U65" s="290"/>
      <c r="V65" s="290"/>
      <c r="W65" s="291"/>
      <c r="X65" s="290"/>
      <c r="Y65" s="291"/>
      <c r="Z65" s="290"/>
      <c r="AA65" s="290"/>
      <c r="AB65" s="292"/>
      <c r="AC65" s="292"/>
      <c r="AD65" s="292"/>
    </row>
    <row r="66" spans="1:30" ht="15.75" hidden="1" customHeight="1" x14ac:dyDescent="0.15">
      <c r="A66" s="290"/>
      <c r="B66" s="390"/>
      <c r="C66" s="390"/>
      <c r="D66" s="390"/>
      <c r="E66" s="391"/>
      <c r="F66" s="290"/>
      <c r="G66" s="290"/>
      <c r="H66" s="290"/>
      <c r="I66" s="290"/>
      <c r="J66" s="290"/>
      <c r="K66" s="290"/>
      <c r="L66" s="290"/>
      <c r="M66" s="290"/>
      <c r="N66" s="290"/>
      <c r="O66" s="290"/>
      <c r="P66" s="290"/>
      <c r="Q66" s="290"/>
      <c r="R66" s="290"/>
      <c r="S66" s="290"/>
      <c r="T66" s="290"/>
      <c r="U66" s="290"/>
      <c r="V66" s="290"/>
      <c r="W66" s="291"/>
      <c r="X66" s="290"/>
      <c r="Y66" s="291"/>
      <c r="Z66" s="290"/>
      <c r="AA66" s="290"/>
      <c r="AB66" s="292"/>
      <c r="AC66" s="292"/>
      <c r="AD66" s="292"/>
    </row>
    <row r="67" spans="1:30" ht="15.75" hidden="1" customHeight="1" x14ac:dyDescent="0.15">
      <c r="A67" s="290"/>
      <c r="B67" s="390"/>
      <c r="C67" s="390"/>
      <c r="D67" s="295" t="s">
        <v>79</v>
      </c>
      <c r="E67" s="392"/>
      <c r="F67" s="296"/>
      <c r="G67" s="296"/>
      <c r="H67" s="296"/>
      <c r="I67" s="296"/>
      <c r="J67" s="296"/>
      <c r="K67" s="296"/>
      <c r="L67" s="296"/>
      <c r="M67" s="296"/>
      <c r="N67" s="296"/>
      <c r="O67" s="296"/>
      <c r="P67" s="296"/>
      <c r="Q67" s="296"/>
      <c r="R67" s="296"/>
      <c r="S67" s="296"/>
      <c r="T67" s="296"/>
      <c r="U67" s="296"/>
      <c r="V67" s="296"/>
      <c r="W67" s="297"/>
      <c r="X67" s="296"/>
      <c r="Y67" s="297"/>
      <c r="Z67" s="296"/>
      <c r="AA67" s="296"/>
      <c r="AB67" s="298"/>
      <c r="AC67" s="298"/>
      <c r="AD67" s="299"/>
    </row>
    <row r="68" spans="1:30" ht="15.75" hidden="1" customHeight="1" x14ac:dyDescent="0.15">
      <c r="A68" s="303"/>
      <c r="B68" s="303"/>
      <c r="C68" s="303"/>
      <c r="D68" s="301" t="s">
        <v>264</v>
      </c>
      <c r="E68" s="302" t="s">
        <v>257</v>
      </c>
      <c r="F68" s="303" t="s">
        <v>224</v>
      </c>
      <c r="G68" s="303" t="s">
        <v>22</v>
      </c>
      <c r="H68" s="303" t="s">
        <v>227</v>
      </c>
      <c r="I68" s="331">
        <f t="shared" ref="I68:I73" si="16">J68/$J$90</f>
        <v>1.8894003600630267E-2</v>
      </c>
      <c r="J68" s="305">
        <v>1000000</v>
      </c>
      <c r="K68" s="306"/>
      <c r="L68" s="307"/>
      <c r="M68" s="307"/>
      <c r="N68" s="308"/>
      <c r="O68" s="309"/>
      <c r="P68" s="334">
        <f>J68/Q68*1000</f>
        <v>2631578.9473684211</v>
      </c>
      <c r="Q68" s="305">
        <v>380</v>
      </c>
      <c r="R68" s="333">
        <v>1.1000000000000001</v>
      </c>
      <c r="S68" s="334">
        <f t="shared" ref="S68:S73" si="17">P68/R68</f>
        <v>2392344.4976076554</v>
      </c>
      <c r="T68" s="306"/>
      <c r="U68" s="306"/>
      <c r="V68" s="306"/>
      <c r="W68" s="310"/>
      <c r="X68" s="306"/>
      <c r="Y68" s="310"/>
      <c r="Z68" s="306"/>
      <c r="AA68" s="306"/>
      <c r="AB68" s="311"/>
      <c r="AC68" s="311"/>
      <c r="AD68" s="311"/>
    </row>
    <row r="69" spans="1:30" ht="15.75" hidden="1" customHeight="1" x14ac:dyDescent="0.15">
      <c r="A69" s="303"/>
      <c r="B69" s="303"/>
      <c r="C69" s="303"/>
      <c r="D69" s="301" t="s">
        <v>265</v>
      </c>
      <c r="E69" s="302" t="s">
        <v>257</v>
      </c>
      <c r="F69" s="303" t="s">
        <v>224</v>
      </c>
      <c r="G69" s="303" t="s">
        <v>22</v>
      </c>
      <c r="H69" s="303" t="s">
        <v>48</v>
      </c>
      <c r="I69" s="331">
        <f t="shared" si="16"/>
        <v>1.8894003600630267E-2</v>
      </c>
      <c r="J69" s="305">
        <v>1000000</v>
      </c>
      <c r="K69" s="306"/>
      <c r="L69" s="307"/>
      <c r="M69" s="307"/>
      <c r="N69" s="308"/>
      <c r="O69" s="309"/>
      <c r="P69" s="334">
        <f>J69/Q69*1000</f>
        <v>2631578.9473684211</v>
      </c>
      <c r="Q69" s="305">
        <v>380</v>
      </c>
      <c r="R69" s="333">
        <v>1.1000000000000001</v>
      </c>
      <c r="S69" s="334">
        <f t="shared" si="17"/>
        <v>2392344.4976076554</v>
      </c>
      <c r="T69" s="306"/>
      <c r="U69" s="306"/>
      <c r="V69" s="306"/>
      <c r="W69" s="310"/>
      <c r="X69" s="306"/>
      <c r="Y69" s="310"/>
      <c r="Z69" s="306"/>
      <c r="AA69" s="306"/>
      <c r="AB69" s="311"/>
      <c r="AC69" s="311"/>
      <c r="AD69" s="311"/>
    </row>
    <row r="70" spans="1:30" ht="15.75" hidden="1" customHeight="1" x14ac:dyDescent="0.15">
      <c r="A70" s="303"/>
      <c r="B70" s="303"/>
      <c r="C70" s="303"/>
      <c r="D70" s="301" t="s">
        <v>266</v>
      </c>
      <c r="E70" s="302" t="s">
        <v>257</v>
      </c>
      <c r="F70" s="303" t="s">
        <v>224</v>
      </c>
      <c r="G70" s="303" t="s">
        <v>22</v>
      </c>
      <c r="H70" s="303" t="s">
        <v>65</v>
      </c>
      <c r="I70" s="331">
        <f t="shared" si="16"/>
        <v>1.8894003600630267E-2</v>
      </c>
      <c r="J70" s="305">
        <v>1000000</v>
      </c>
      <c r="K70" s="306"/>
      <c r="L70" s="307"/>
      <c r="M70" s="307"/>
      <c r="N70" s="308"/>
      <c r="O70" s="309"/>
      <c r="P70" s="334">
        <f>J70/Q70*1000</f>
        <v>2222222.222222222</v>
      </c>
      <c r="Q70" s="305">
        <v>450</v>
      </c>
      <c r="R70" s="333">
        <v>1.1000000000000001</v>
      </c>
      <c r="S70" s="334">
        <f t="shared" si="17"/>
        <v>2020202.02020202</v>
      </c>
      <c r="T70" s="306"/>
      <c r="U70" s="306"/>
      <c r="V70" s="306"/>
      <c r="W70" s="310"/>
      <c r="X70" s="306"/>
      <c r="Y70" s="310"/>
      <c r="Z70" s="306"/>
      <c r="AA70" s="306"/>
      <c r="AB70" s="311"/>
      <c r="AC70" s="311"/>
      <c r="AD70" s="311"/>
    </row>
    <row r="71" spans="1:30" ht="15.75" hidden="1" customHeight="1" x14ac:dyDescent="0.15">
      <c r="A71" s="303"/>
      <c r="B71" s="303"/>
      <c r="C71" s="303"/>
      <c r="D71" s="301" t="s">
        <v>267</v>
      </c>
      <c r="E71" s="302" t="s">
        <v>257</v>
      </c>
      <c r="F71" s="303" t="s">
        <v>224</v>
      </c>
      <c r="G71" s="303" t="s">
        <v>22</v>
      </c>
      <c r="H71" s="303" t="s">
        <v>58</v>
      </c>
      <c r="I71" s="331">
        <f t="shared" si="16"/>
        <v>1.8894003600630267E-2</v>
      </c>
      <c r="J71" s="305">
        <v>1000000</v>
      </c>
      <c r="K71" s="306"/>
      <c r="L71" s="307"/>
      <c r="M71" s="307"/>
      <c r="N71" s="308"/>
      <c r="O71" s="309"/>
      <c r="P71" s="334">
        <f>J71/Q71*1000</f>
        <v>2222222.222222222</v>
      </c>
      <c r="Q71" s="305">
        <v>450</v>
      </c>
      <c r="R71" s="333">
        <v>1.1000000000000001</v>
      </c>
      <c r="S71" s="334">
        <f t="shared" si="17"/>
        <v>2020202.02020202</v>
      </c>
      <c r="T71" s="306"/>
      <c r="U71" s="306"/>
      <c r="V71" s="306"/>
      <c r="W71" s="310"/>
      <c r="X71" s="306"/>
      <c r="Y71" s="310"/>
      <c r="Z71" s="306"/>
      <c r="AA71" s="306"/>
      <c r="AB71" s="311"/>
      <c r="AC71" s="311"/>
      <c r="AD71" s="311"/>
    </row>
    <row r="72" spans="1:30" ht="15.75" hidden="1" customHeight="1" x14ac:dyDescent="0.15">
      <c r="A72" s="303"/>
      <c r="B72" s="303"/>
      <c r="C72" s="303"/>
      <c r="D72" s="301" t="s">
        <v>268</v>
      </c>
      <c r="E72" s="302" t="s">
        <v>257</v>
      </c>
      <c r="F72" s="303" t="s">
        <v>237</v>
      </c>
      <c r="G72" s="303" t="s">
        <v>19</v>
      </c>
      <c r="H72" s="303" t="s">
        <v>65</v>
      </c>
      <c r="I72" s="331">
        <f t="shared" si="16"/>
        <v>7.5576014402521069E-2</v>
      </c>
      <c r="J72" s="305">
        <v>4000000</v>
      </c>
      <c r="K72" s="346">
        <v>5</v>
      </c>
      <c r="L72" s="334">
        <f>J72/K72</f>
        <v>800000</v>
      </c>
      <c r="M72" s="334">
        <v>2</v>
      </c>
      <c r="N72" s="347">
        <f>L72/M72</f>
        <v>400000</v>
      </c>
      <c r="O72" s="348">
        <v>0.2</v>
      </c>
      <c r="P72" s="334">
        <f>L72*O72</f>
        <v>160000</v>
      </c>
      <c r="Q72" s="305">
        <f>J72*1000/P72</f>
        <v>25000</v>
      </c>
      <c r="R72" s="333">
        <v>1.1000000000000001</v>
      </c>
      <c r="S72" s="334">
        <f t="shared" si="17"/>
        <v>145454.54545454544</v>
      </c>
      <c r="T72" s="306"/>
      <c r="U72" s="306"/>
      <c r="V72" s="306"/>
      <c r="W72" s="310"/>
      <c r="X72" s="306"/>
      <c r="Y72" s="310"/>
      <c r="Z72" s="306"/>
      <c r="AA72" s="306"/>
      <c r="AB72" s="311"/>
      <c r="AC72" s="311"/>
      <c r="AD72" s="311"/>
    </row>
    <row r="73" spans="1:30" ht="15.75" hidden="1" customHeight="1" x14ac:dyDescent="0.15">
      <c r="A73" s="303"/>
      <c r="B73" s="303"/>
      <c r="C73" s="303"/>
      <c r="D73" s="301" t="s">
        <v>233</v>
      </c>
      <c r="E73" s="302" t="s">
        <v>257</v>
      </c>
      <c r="F73" s="303" t="s">
        <v>237</v>
      </c>
      <c r="G73" s="303" t="s">
        <v>22</v>
      </c>
      <c r="H73" s="303" t="s">
        <v>65</v>
      </c>
      <c r="I73" s="331">
        <f t="shared" si="16"/>
        <v>4.7235009001575665E-2</v>
      </c>
      <c r="J73" s="305">
        <v>2500000</v>
      </c>
      <c r="K73" s="306"/>
      <c r="L73" s="307"/>
      <c r="M73" s="307"/>
      <c r="N73" s="308"/>
      <c r="O73" s="309"/>
      <c r="P73" s="334">
        <f>J73/Q73*1000</f>
        <v>5555555.555555556</v>
      </c>
      <c r="Q73" s="305">
        <v>450</v>
      </c>
      <c r="R73" s="333">
        <v>1.1000000000000001</v>
      </c>
      <c r="S73" s="334">
        <f t="shared" si="17"/>
        <v>5050505.0505050505</v>
      </c>
      <c r="T73" s="306"/>
      <c r="U73" s="306"/>
      <c r="V73" s="306"/>
      <c r="W73" s="310"/>
      <c r="X73" s="306"/>
      <c r="Y73" s="310"/>
      <c r="Z73" s="306"/>
      <c r="AA73" s="306"/>
      <c r="AB73" s="311"/>
      <c r="AC73" s="311"/>
      <c r="AD73" s="311"/>
    </row>
    <row r="74" spans="1:30" ht="15.75" hidden="1" customHeight="1" x14ac:dyDescent="0.15">
      <c r="A74" s="303"/>
      <c r="B74" s="303"/>
      <c r="C74" s="303"/>
      <c r="D74" s="393" t="s">
        <v>269</v>
      </c>
      <c r="E74" s="394"/>
      <c r="F74" s="395"/>
      <c r="G74" s="395"/>
      <c r="H74" s="395"/>
      <c r="I74" s="310"/>
      <c r="J74" s="396"/>
      <c r="K74" s="397"/>
      <c r="L74" s="398"/>
      <c r="M74" s="398"/>
      <c r="N74" s="399"/>
      <c r="O74" s="400"/>
      <c r="P74" s="398"/>
      <c r="Q74" s="396"/>
      <c r="R74" s="401"/>
      <c r="S74" s="398"/>
      <c r="T74" s="306"/>
      <c r="U74" s="306"/>
      <c r="V74" s="306"/>
      <c r="W74" s="310"/>
      <c r="X74" s="306"/>
      <c r="Y74" s="310"/>
      <c r="Z74" s="306"/>
      <c r="AA74" s="306"/>
      <c r="AB74" s="311"/>
      <c r="AC74" s="311"/>
      <c r="AD74" s="311"/>
    </row>
    <row r="75" spans="1:30" ht="15.75" hidden="1" customHeight="1" x14ac:dyDescent="0.15">
      <c r="A75" s="303"/>
      <c r="B75" s="303"/>
      <c r="C75" s="303"/>
      <c r="D75" s="393" t="s">
        <v>270</v>
      </c>
      <c r="E75" s="394"/>
      <c r="F75" s="395"/>
      <c r="G75" s="395"/>
      <c r="H75" s="395"/>
      <c r="I75" s="310"/>
      <c r="J75" s="396"/>
      <c r="K75" s="306"/>
      <c r="L75" s="307"/>
      <c r="M75" s="307"/>
      <c r="N75" s="308"/>
      <c r="O75" s="309"/>
      <c r="P75" s="398"/>
      <c r="Q75" s="396"/>
      <c r="R75" s="401"/>
      <c r="S75" s="398"/>
      <c r="T75" s="306"/>
      <c r="U75" s="306"/>
      <c r="V75" s="306"/>
      <c r="W75" s="310"/>
      <c r="X75" s="306"/>
      <c r="Y75" s="310"/>
      <c r="Z75" s="306"/>
      <c r="AA75" s="306"/>
      <c r="AB75" s="311"/>
      <c r="AC75" s="311"/>
      <c r="AD75" s="311"/>
    </row>
    <row r="76" spans="1:30" ht="15.75" hidden="1" customHeight="1" x14ac:dyDescent="0.15">
      <c r="A76" s="303"/>
      <c r="B76" s="303"/>
      <c r="C76" s="303"/>
      <c r="D76" s="393" t="s">
        <v>271</v>
      </c>
      <c r="E76" s="394"/>
      <c r="F76" s="395"/>
      <c r="G76" s="395"/>
      <c r="H76" s="395"/>
      <c r="I76" s="310"/>
      <c r="J76" s="396"/>
      <c r="K76" s="397"/>
      <c r="L76" s="398"/>
      <c r="M76" s="398"/>
      <c r="N76" s="399"/>
      <c r="O76" s="400"/>
      <c r="P76" s="398"/>
      <c r="Q76" s="396"/>
      <c r="R76" s="401"/>
      <c r="S76" s="398"/>
      <c r="T76" s="306"/>
      <c r="U76" s="306"/>
      <c r="V76" s="306"/>
      <c r="W76" s="310"/>
      <c r="X76" s="306"/>
      <c r="Y76" s="310"/>
      <c r="Z76" s="306"/>
      <c r="AA76" s="306"/>
      <c r="AB76" s="311"/>
      <c r="AC76" s="311"/>
      <c r="AD76" s="311"/>
    </row>
    <row r="77" spans="1:30" ht="15.75" hidden="1" customHeight="1" x14ac:dyDescent="0.15">
      <c r="A77" s="303"/>
      <c r="B77" s="303"/>
      <c r="C77" s="303"/>
      <c r="D77" s="393" t="s">
        <v>272</v>
      </c>
      <c r="E77" s="394"/>
      <c r="F77" s="395"/>
      <c r="G77" s="395"/>
      <c r="H77" s="395"/>
      <c r="I77" s="310"/>
      <c r="J77" s="396"/>
      <c r="K77" s="306"/>
      <c r="L77" s="307"/>
      <c r="M77" s="307"/>
      <c r="N77" s="308"/>
      <c r="O77" s="309"/>
      <c r="P77" s="398"/>
      <c r="Q77" s="396"/>
      <c r="R77" s="401"/>
      <c r="S77" s="398"/>
      <c r="T77" s="306"/>
      <c r="U77" s="306"/>
      <c r="V77" s="306"/>
      <c r="W77" s="310"/>
      <c r="X77" s="306"/>
      <c r="Y77" s="310"/>
      <c r="Z77" s="306"/>
      <c r="AA77" s="306"/>
      <c r="AB77" s="311"/>
      <c r="AC77" s="311"/>
      <c r="AD77" s="311"/>
    </row>
    <row r="78" spans="1:30" ht="15.75" hidden="1" customHeight="1" x14ac:dyDescent="0.15">
      <c r="A78" s="303"/>
      <c r="B78" s="303"/>
      <c r="C78" s="303"/>
      <c r="D78" s="393" t="s">
        <v>273</v>
      </c>
      <c r="E78" s="394"/>
      <c r="F78" s="395"/>
      <c r="G78" s="402"/>
      <c r="H78" s="402"/>
      <c r="I78" s="310"/>
      <c r="J78" s="396"/>
      <c r="K78" s="397"/>
      <c r="L78" s="398"/>
      <c r="M78" s="398"/>
      <c r="N78" s="399"/>
      <c r="O78" s="400"/>
      <c r="P78" s="398"/>
      <c r="Q78" s="396"/>
      <c r="R78" s="401"/>
      <c r="S78" s="398"/>
      <c r="T78" s="306"/>
      <c r="U78" s="306"/>
      <c r="V78" s="306"/>
      <c r="W78" s="310"/>
      <c r="X78" s="306"/>
      <c r="Y78" s="310"/>
      <c r="Z78" s="306"/>
      <c r="AA78" s="306"/>
      <c r="AB78" s="311"/>
      <c r="AC78" s="311"/>
      <c r="AD78" s="311"/>
    </row>
    <row r="79" spans="1:30" ht="15.75" hidden="1" customHeight="1" x14ac:dyDescent="0.15">
      <c r="A79" s="303"/>
      <c r="B79" s="303"/>
      <c r="C79" s="303"/>
      <c r="D79" s="393" t="s">
        <v>274</v>
      </c>
      <c r="E79" s="394"/>
      <c r="F79" s="395"/>
      <c r="G79" s="402"/>
      <c r="H79" s="402"/>
      <c r="I79" s="310"/>
      <c r="J79" s="396"/>
      <c r="K79" s="306"/>
      <c r="L79" s="307"/>
      <c r="M79" s="307"/>
      <c r="N79" s="308"/>
      <c r="O79" s="309"/>
      <c r="P79" s="398"/>
      <c r="Q79" s="396"/>
      <c r="R79" s="401"/>
      <c r="S79" s="398"/>
      <c r="T79" s="306"/>
      <c r="U79" s="306"/>
      <c r="V79" s="306"/>
      <c r="W79" s="310"/>
      <c r="X79" s="306"/>
      <c r="Y79" s="310"/>
      <c r="Z79" s="306"/>
      <c r="AA79" s="306"/>
      <c r="AB79" s="311"/>
      <c r="AC79" s="311"/>
      <c r="AD79" s="311"/>
    </row>
    <row r="80" spans="1:30" ht="15.75" hidden="1" customHeight="1" x14ac:dyDescent="0.15">
      <c r="A80" s="303"/>
      <c r="B80" s="303"/>
      <c r="C80" s="303"/>
      <c r="D80" s="301" t="s">
        <v>241</v>
      </c>
      <c r="E80" s="302" t="s">
        <v>257</v>
      </c>
      <c r="F80" s="303" t="s">
        <v>240</v>
      </c>
      <c r="G80" s="345" t="s">
        <v>19</v>
      </c>
      <c r="H80" s="345" t="s">
        <v>48</v>
      </c>
      <c r="I80" s="331">
        <f>J80/$J$90</f>
        <v>3.7788007201260534E-2</v>
      </c>
      <c r="J80" s="305">
        <v>2000000</v>
      </c>
      <c r="K80" s="346">
        <v>4</v>
      </c>
      <c r="L80" s="334">
        <f>J80/K80</f>
        <v>500000</v>
      </c>
      <c r="M80" s="334">
        <v>10</v>
      </c>
      <c r="N80" s="347">
        <f>L80/M80</f>
        <v>50000</v>
      </c>
      <c r="O80" s="348">
        <v>0.2</v>
      </c>
      <c r="P80" s="334">
        <f>L80*O80</f>
        <v>100000</v>
      </c>
      <c r="Q80" s="305">
        <f>J80*1000/P80</f>
        <v>20000</v>
      </c>
      <c r="R80" s="333">
        <v>1.1000000000000001</v>
      </c>
      <c r="S80" s="334">
        <f>P80/R80</f>
        <v>90909.090909090897</v>
      </c>
      <c r="T80" s="306"/>
      <c r="U80" s="306"/>
      <c r="V80" s="306"/>
      <c r="W80" s="310"/>
      <c r="X80" s="306"/>
      <c r="Y80" s="310"/>
      <c r="Z80" s="306"/>
      <c r="AA80" s="306"/>
      <c r="AB80" s="311"/>
      <c r="AC80" s="311"/>
      <c r="AD80" s="311"/>
    </row>
    <row r="81" spans="1:30" ht="15.75" hidden="1" customHeight="1" x14ac:dyDescent="0.15">
      <c r="A81" s="303"/>
      <c r="B81" s="303"/>
      <c r="C81" s="303"/>
      <c r="D81" s="301" t="s">
        <v>235</v>
      </c>
      <c r="E81" s="302" t="s">
        <v>257</v>
      </c>
      <c r="F81" s="303" t="s">
        <v>240</v>
      </c>
      <c r="G81" s="345" t="s">
        <v>22</v>
      </c>
      <c r="H81" s="345" t="s">
        <v>48</v>
      </c>
      <c r="I81" s="331">
        <f>J81/$J$90</f>
        <v>1.8894003600630267E-2</v>
      </c>
      <c r="J81" s="305">
        <v>1000000</v>
      </c>
      <c r="K81" s="306"/>
      <c r="L81" s="307"/>
      <c r="M81" s="307"/>
      <c r="N81" s="308"/>
      <c r="O81" s="309"/>
      <c r="P81" s="334">
        <f>J81/Q81*1000</f>
        <v>2631578.9473684211</v>
      </c>
      <c r="Q81" s="305">
        <v>380</v>
      </c>
      <c r="R81" s="333">
        <v>1.1000000000000001</v>
      </c>
      <c r="S81" s="334">
        <f>P81/R81</f>
        <v>2392344.4976076554</v>
      </c>
      <c r="T81" s="306"/>
      <c r="U81" s="306"/>
      <c r="V81" s="306"/>
      <c r="W81" s="310"/>
      <c r="X81" s="306"/>
      <c r="Y81" s="310"/>
      <c r="Z81" s="306"/>
      <c r="AA81" s="306"/>
      <c r="AB81" s="311"/>
      <c r="AC81" s="311"/>
      <c r="AD81" s="311"/>
    </row>
    <row r="82" spans="1:30" ht="15.75" hidden="1" customHeight="1" x14ac:dyDescent="0.15">
      <c r="A82" s="303"/>
      <c r="B82" s="303"/>
      <c r="C82" s="303"/>
      <c r="D82" s="301" t="s">
        <v>239</v>
      </c>
      <c r="E82" s="302" t="s">
        <v>257</v>
      </c>
      <c r="F82" s="303" t="s">
        <v>240</v>
      </c>
      <c r="G82" s="345" t="s">
        <v>19</v>
      </c>
      <c r="H82" s="345" t="s">
        <v>227</v>
      </c>
      <c r="I82" s="331">
        <f>J82/$J$90</f>
        <v>3.7788007201260534E-2</v>
      </c>
      <c r="J82" s="305">
        <v>2000000</v>
      </c>
      <c r="K82" s="346">
        <v>4</v>
      </c>
      <c r="L82" s="334">
        <f>J82/K82</f>
        <v>500000</v>
      </c>
      <c r="M82" s="334">
        <v>30</v>
      </c>
      <c r="N82" s="347">
        <f>L82/M82</f>
        <v>16666.666666666668</v>
      </c>
      <c r="O82" s="348">
        <v>0.2</v>
      </c>
      <c r="P82" s="334">
        <f>L82*O82</f>
        <v>100000</v>
      </c>
      <c r="Q82" s="305">
        <f>J82*1000/P82</f>
        <v>20000</v>
      </c>
      <c r="R82" s="333">
        <v>1.1000000000000001</v>
      </c>
      <c r="S82" s="334">
        <f>P82/R82</f>
        <v>90909.090909090897</v>
      </c>
      <c r="T82" s="306"/>
      <c r="U82" s="306"/>
      <c r="V82" s="306"/>
      <c r="W82" s="310"/>
      <c r="X82" s="306"/>
      <c r="Y82" s="310"/>
      <c r="Z82" s="306"/>
      <c r="AA82" s="306"/>
      <c r="AB82" s="311"/>
      <c r="AC82" s="311"/>
      <c r="AD82" s="311"/>
    </row>
    <row r="83" spans="1:30" ht="15.75" hidden="1" customHeight="1" x14ac:dyDescent="0.15">
      <c r="A83" s="303"/>
      <c r="B83" s="303"/>
      <c r="C83" s="303"/>
      <c r="D83" s="301" t="s">
        <v>234</v>
      </c>
      <c r="E83" s="302" t="s">
        <v>257</v>
      </c>
      <c r="F83" s="303" t="s">
        <v>240</v>
      </c>
      <c r="G83" s="345" t="s">
        <v>22</v>
      </c>
      <c r="H83" s="345" t="s">
        <v>227</v>
      </c>
      <c r="I83" s="331">
        <f>J83/$J$90</f>
        <v>1.8894003600630267E-2</v>
      </c>
      <c r="J83" s="305">
        <v>1000000</v>
      </c>
      <c r="K83" s="306"/>
      <c r="L83" s="307"/>
      <c r="M83" s="307"/>
      <c r="N83" s="308"/>
      <c r="O83" s="309"/>
      <c r="P83" s="334">
        <f>J83/Q83*1000</f>
        <v>2631578.9473684211</v>
      </c>
      <c r="Q83" s="305">
        <v>380</v>
      </c>
      <c r="R83" s="333">
        <v>1.1000000000000001</v>
      </c>
      <c r="S83" s="334">
        <f>P83/R83</f>
        <v>2392344.4976076554</v>
      </c>
      <c r="T83" s="306"/>
      <c r="U83" s="306"/>
      <c r="V83" s="306"/>
      <c r="W83" s="310"/>
      <c r="X83" s="306"/>
      <c r="Y83" s="310"/>
      <c r="Z83" s="306"/>
      <c r="AA83" s="306"/>
      <c r="AB83" s="311"/>
      <c r="AC83" s="311"/>
      <c r="AD83" s="311"/>
    </row>
    <row r="84" spans="1:30" ht="15.75" hidden="1" customHeight="1" x14ac:dyDescent="0.15">
      <c r="A84" s="290"/>
      <c r="B84" s="303"/>
      <c r="C84" s="303"/>
      <c r="D84" s="393" t="s">
        <v>275</v>
      </c>
      <c r="E84" s="394"/>
      <c r="F84" s="395"/>
      <c r="G84" s="402"/>
      <c r="H84" s="402"/>
      <c r="I84" s="310"/>
      <c r="J84" s="396"/>
      <c r="K84" s="397"/>
      <c r="L84" s="398"/>
      <c r="M84" s="398"/>
      <c r="N84" s="399"/>
      <c r="O84" s="400"/>
      <c r="P84" s="398"/>
      <c r="Q84" s="396"/>
      <c r="R84" s="401"/>
      <c r="S84" s="398"/>
      <c r="T84" s="306"/>
      <c r="U84" s="306"/>
      <c r="V84" s="306"/>
      <c r="W84" s="310"/>
      <c r="X84" s="306"/>
      <c r="Y84" s="310"/>
      <c r="Z84" s="306"/>
      <c r="AA84" s="306"/>
      <c r="AB84" s="311"/>
      <c r="AC84" s="311"/>
      <c r="AD84" s="311"/>
    </row>
    <row r="85" spans="1:30" ht="15.75" hidden="1" customHeight="1" x14ac:dyDescent="0.15">
      <c r="A85" s="303"/>
      <c r="B85" s="303"/>
      <c r="C85" s="303"/>
      <c r="D85" s="393" t="s">
        <v>276</v>
      </c>
      <c r="E85" s="394"/>
      <c r="F85" s="395"/>
      <c r="G85" s="402"/>
      <c r="H85" s="402"/>
      <c r="I85" s="310"/>
      <c r="J85" s="396"/>
      <c r="K85" s="306"/>
      <c r="L85" s="307"/>
      <c r="M85" s="307"/>
      <c r="N85" s="308"/>
      <c r="O85" s="309"/>
      <c r="P85" s="398"/>
      <c r="Q85" s="396"/>
      <c r="R85" s="401"/>
      <c r="S85" s="398"/>
      <c r="T85" s="306"/>
      <c r="U85" s="306"/>
      <c r="V85" s="306"/>
      <c r="W85" s="310"/>
      <c r="X85" s="306"/>
      <c r="Y85" s="310"/>
      <c r="Z85" s="306"/>
      <c r="AA85" s="306"/>
      <c r="AB85" s="311"/>
      <c r="AC85" s="311"/>
      <c r="AD85" s="311"/>
    </row>
    <row r="86" spans="1:30" ht="15.75" hidden="1" customHeight="1" x14ac:dyDescent="0.15">
      <c r="A86" s="290"/>
      <c r="B86" s="303"/>
      <c r="C86" s="303"/>
      <c r="D86" s="301" t="s">
        <v>242</v>
      </c>
      <c r="E86" s="302" t="s">
        <v>257</v>
      </c>
      <c r="F86" s="303" t="s">
        <v>243</v>
      </c>
      <c r="G86" s="345" t="s">
        <v>25</v>
      </c>
      <c r="H86" s="345" t="s">
        <v>227</v>
      </c>
      <c r="I86" s="331">
        <f>J86/$J$90</f>
        <v>2.8341005400945401E-2</v>
      </c>
      <c r="J86" s="305">
        <v>1500000</v>
      </c>
      <c r="K86" s="346">
        <v>4</v>
      </c>
      <c r="L86" s="334">
        <f>J86/K86</f>
        <v>375000</v>
      </c>
      <c r="M86" s="334">
        <f>L86/N86</f>
        <v>0.9375</v>
      </c>
      <c r="N86" s="347">
        <v>400000</v>
      </c>
      <c r="O86" s="348">
        <v>0.6</v>
      </c>
      <c r="P86" s="334">
        <f>N86*O86</f>
        <v>240000</v>
      </c>
      <c r="Q86" s="305">
        <f>J86*1000/P86</f>
        <v>6250</v>
      </c>
      <c r="R86" s="333">
        <v>1.1000000000000001</v>
      </c>
      <c r="S86" s="334">
        <f>P86/R86</f>
        <v>218181.81818181818</v>
      </c>
      <c r="T86" s="306"/>
      <c r="U86" s="306"/>
      <c r="V86" s="306"/>
      <c r="W86" s="310"/>
      <c r="X86" s="306"/>
      <c r="Y86" s="310"/>
      <c r="Z86" s="306"/>
      <c r="AA86" s="306"/>
      <c r="AB86" s="311"/>
      <c r="AC86" s="311"/>
      <c r="AD86" s="311"/>
    </row>
    <row r="87" spans="1:30" ht="15.75" hidden="1" customHeight="1" x14ac:dyDescent="0.15">
      <c r="A87" s="290"/>
      <c r="B87" s="303"/>
      <c r="C87" s="303"/>
      <c r="D87" s="301" t="s">
        <v>244</v>
      </c>
      <c r="E87" s="302" t="s">
        <v>257</v>
      </c>
      <c r="F87" s="303" t="s">
        <v>243</v>
      </c>
      <c r="G87" s="345" t="s">
        <v>25</v>
      </c>
      <c r="H87" s="345" t="s">
        <v>245</v>
      </c>
      <c r="I87" s="331">
        <f>J87/$J$90</f>
        <v>1.8894003600630267E-2</v>
      </c>
      <c r="J87" s="305">
        <v>1000000</v>
      </c>
      <c r="K87" s="306"/>
      <c r="L87" s="306"/>
      <c r="M87" s="306"/>
      <c r="N87" s="306"/>
      <c r="O87" s="306"/>
      <c r="P87" s="306"/>
      <c r="Q87" s="306"/>
      <c r="R87" s="306"/>
      <c r="S87" s="306"/>
      <c r="T87" s="306"/>
      <c r="U87" s="306"/>
      <c r="V87" s="306"/>
      <c r="W87" s="310"/>
      <c r="X87" s="306"/>
      <c r="Y87" s="310"/>
      <c r="Z87" s="306"/>
      <c r="AA87" s="332">
        <v>1000</v>
      </c>
      <c r="AB87" s="340"/>
      <c r="AC87" s="340">
        <f>AA87*50000</f>
        <v>50000000</v>
      </c>
      <c r="AD87" s="340"/>
    </row>
    <row r="88" spans="1:30" ht="15.75" hidden="1" customHeight="1" x14ac:dyDescent="0.15">
      <c r="A88" s="290"/>
      <c r="B88" s="403"/>
      <c r="C88" s="403"/>
      <c r="D88" s="404" t="s">
        <v>277</v>
      </c>
      <c r="E88" s="302" t="s">
        <v>257</v>
      </c>
      <c r="F88" s="303" t="s">
        <v>210</v>
      </c>
      <c r="G88" s="303" t="s">
        <v>25</v>
      </c>
      <c r="H88" s="303" t="s">
        <v>227</v>
      </c>
      <c r="I88" s="331">
        <f>J88/$J$90</f>
        <v>9.4470018003151329E-2</v>
      </c>
      <c r="J88" s="361">
        <v>5000000</v>
      </c>
      <c r="K88" s="359">
        <v>2</v>
      </c>
      <c r="L88" s="332">
        <f>M88*N88</f>
        <v>1000000</v>
      </c>
      <c r="M88" s="332">
        <v>100</v>
      </c>
      <c r="N88" s="332">
        <v>10000</v>
      </c>
      <c r="O88" s="360">
        <v>0.2</v>
      </c>
      <c r="P88" s="332">
        <f>N88*O88</f>
        <v>2000</v>
      </c>
      <c r="Q88" s="361">
        <f>J88*1000/P88</f>
        <v>2500000</v>
      </c>
      <c r="R88" s="362">
        <v>1.1000000000000001</v>
      </c>
      <c r="S88" s="332">
        <f>P88/R88</f>
        <v>1818.181818181818</v>
      </c>
      <c r="T88" s="306"/>
      <c r="U88" s="306"/>
      <c r="V88" s="306"/>
      <c r="W88" s="310"/>
      <c r="X88" s="306"/>
      <c r="Y88" s="310"/>
      <c r="Z88" s="306"/>
      <c r="AA88" s="332">
        <f>J88*5/70000</f>
        <v>357.14285714285717</v>
      </c>
      <c r="AB88" s="340"/>
      <c r="AC88" s="340">
        <f>AA88*50000</f>
        <v>17857142.857142858</v>
      </c>
      <c r="AD88" s="340"/>
    </row>
    <row r="89" spans="1:30" ht="15.75" hidden="1" customHeight="1" x14ac:dyDescent="0.15">
      <c r="A89" s="290"/>
      <c r="B89" s="403"/>
      <c r="C89" s="403"/>
      <c r="D89" s="405" t="s">
        <v>278</v>
      </c>
      <c r="E89" s="302" t="s">
        <v>257</v>
      </c>
      <c r="F89" s="406" t="s">
        <v>210</v>
      </c>
      <c r="G89" s="406" t="s">
        <v>25</v>
      </c>
      <c r="H89" s="406" t="s">
        <v>279</v>
      </c>
      <c r="I89" s="331">
        <f>J89/$J$90</f>
        <v>0.54654391358487364</v>
      </c>
      <c r="J89" s="407">
        <v>28926845</v>
      </c>
      <c r="K89" s="408"/>
      <c r="L89" s="408"/>
      <c r="M89" s="408"/>
      <c r="N89" s="408"/>
      <c r="O89" s="408"/>
      <c r="P89" s="408"/>
      <c r="Q89" s="408"/>
      <c r="R89" s="408"/>
      <c r="S89" s="408"/>
      <c r="T89" s="306"/>
      <c r="U89" s="306"/>
      <c r="V89" s="306"/>
      <c r="W89" s="310"/>
      <c r="X89" s="306"/>
      <c r="Y89" s="310"/>
      <c r="Z89" s="306"/>
      <c r="AA89" s="409">
        <v>2046</v>
      </c>
      <c r="AB89" s="410"/>
      <c r="AC89" s="410">
        <f>AA89*50000</f>
        <v>102300000</v>
      </c>
      <c r="AD89" s="340"/>
    </row>
    <row r="90" spans="1:30" ht="15.75" hidden="1" customHeight="1" x14ac:dyDescent="0.15">
      <c r="A90" s="290"/>
      <c r="B90" s="313"/>
      <c r="C90" s="313"/>
      <c r="D90" s="314" t="s">
        <v>27</v>
      </c>
      <c r="E90" s="315"/>
      <c r="F90" s="315"/>
      <c r="G90" s="315"/>
      <c r="H90" s="315"/>
      <c r="I90" s="316">
        <f>J90/J90</f>
        <v>1</v>
      </c>
      <c r="J90" s="317">
        <f>SUM(J68:J89)</f>
        <v>52926845</v>
      </c>
      <c r="K90" s="315"/>
      <c r="L90" s="318"/>
      <c r="M90" s="318">
        <f>SUM(M68:M89)</f>
        <v>142.9375</v>
      </c>
      <c r="N90" s="318"/>
      <c r="O90" s="318"/>
      <c r="P90" s="318">
        <f>SUM(P68:P89)</f>
        <v>21128315.789473683</v>
      </c>
      <c r="Q90" s="318">
        <f>J90/P90*1000</f>
        <v>2505.019592066521</v>
      </c>
      <c r="R90" s="319">
        <f>P90/T90</f>
        <v>5.5</v>
      </c>
      <c r="S90" s="318">
        <f>SUM(S68:S89)</f>
        <v>19207559.80861244</v>
      </c>
      <c r="T90" s="318">
        <f>S90/5</f>
        <v>3841511.961722488</v>
      </c>
      <c r="U90" s="318"/>
      <c r="V90" s="318"/>
      <c r="W90" s="320"/>
      <c r="X90" s="318"/>
      <c r="Y90" s="320"/>
      <c r="Z90" s="318"/>
      <c r="AA90" s="318">
        <f>SUM(AA71:AA89)</f>
        <v>3403.1428571428569</v>
      </c>
      <c r="AB90" s="317"/>
      <c r="AC90" s="317">
        <f>SUM(AC71:AC89)</f>
        <v>170157142.85714287</v>
      </c>
      <c r="AD90" s="317"/>
    </row>
    <row r="91" spans="1:30" ht="15.75" hidden="1" customHeight="1" x14ac:dyDescent="0.15">
      <c r="A91" s="290"/>
      <c r="B91" s="290"/>
      <c r="C91" s="290"/>
      <c r="D91" s="290"/>
      <c r="E91" s="290"/>
      <c r="F91" s="290"/>
      <c r="G91" s="290"/>
      <c r="H91" s="290"/>
      <c r="I91" s="290"/>
      <c r="J91" s="290"/>
      <c r="K91" s="290"/>
      <c r="L91" s="290"/>
      <c r="M91" s="290"/>
      <c r="N91" s="290"/>
      <c r="O91" s="290"/>
      <c r="P91" s="290"/>
      <c r="Q91" s="290"/>
      <c r="R91" s="290"/>
      <c r="S91" s="290"/>
      <c r="T91" s="290"/>
      <c r="U91" s="290"/>
      <c r="V91" s="290"/>
      <c r="W91" s="291"/>
      <c r="X91" s="290"/>
      <c r="Y91" s="291"/>
      <c r="Z91" s="290"/>
      <c r="AA91" s="290"/>
      <c r="AB91" s="292"/>
      <c r="AC91" s="292"/>
      <c r="AD91" s="292"/>
    </row>
    <row r="92" spans="1:30" ht="15.75" hidden="1" customHeight="1" x14ac:dyDescent="0.15">
      <c r="A92" s="290"/>
      <c r="B92" s="390"/>
      <c r="C92" s="390"/>
      <c r="D92" s="295" t="s">
        <v>51</v>
      </c>
      <c r="E92" s="392"/>
      <c r="F92" s="296"/>
      <c r="G92" s="296"/>
      <c r="H92" s="296"/>
      <c r="I92" s="296"/>
      <c r="J92" s="296"/>
      <c r="K92" s="296"/>
      <c r="L92" s="296"/>
      <c r="M92" s="296"/>
      <c r="N92" s="296"/>
      <c r="O92" s="296"/>
      <c r="P92" s="296"/>
      <c r="Q92" s="296"/>
      <c r="R92" s="296"/>
      <c r="S92" s="296"/>
      <c r="T92" s="296"/>
      <c r="U92" s="296"/>
      <c r="V92" s="296"/>
      <c r="W92" s="297"/>
      <c r="X92" s="296"/>
      <c r="Y92" s="297"/>
      <c r="Z92" s="296"/>
      <c r="AA92" s="296"/>
      <c r="AB92" s="298"/>
      <c r="AC92" s="298"/>
      <c r="AD92" s="299"/>
    </row>
    <row r="93" spans="1:30" ht="15.75" hidden="1" customHeight="1" x14ac:dyDescent="0.15">
      <c r="A93" s="290"/>
      <c r="B93" s="303"/>
      <c r="C93" s="303"/>
      <c r="D93" s="301" t="s">
        <v>264</v>
      </c>
      <c r="E93" s="302" t="s">
        <v>280</v>
      </c>
      <c r="F93" s="303" t="s">
        <v>224</v>
      </c>
      <c r="G93" s="303" t="s">
        <v>22</v>
      </c>
      <c r="H93" s="303" t="s">
        <v>227</v>
      </c>
      <c r="I93" s="331">
        <f t="shared" ref="I93:I98" si="18">J93/$J$115</f>
        <v>3.1077026243088043E-2</v>
      </c>
      <c r="J93" s="305">
        <v>1000000</v>
      </c>
      <c r="K93" s="306"/>
      <c r="L93" s="307"/>
      <c r="M93" s="307"/>
      <c r="N93" s="308"/>
      <c r="O93" s="309"/>
      <c r="P93" s="334">
        <f>J93/Q93*1000</f>
        <v>2631578.9473684211</v>
      </c>
      <c r="Q93" s="305">
        <v>380</v>
      </c>
      <c r="R93" s="333">
        <v>1.1000000000000001</v>
      </c>
      <c r="S93" s="334">
        <f t="shared" ref="S93:S98" si="19">P93/R93</f>
        <v>2392344.4976076554</v>
      </c>
      <c r="T93" s="306"/>
      <c r="U93" s="306"/>
      <c r="V93" s="306"/>
      <c r="W93" s="310"/>
      <c r="X93" s="306"/>
      <c r="Y93" s="310"/>
      <c r="Z93" s="306"/>
      <c r="AA93" s="306"/>
      <c r="AB93" s="311"/>
      <c r="AC93" s="311"/>
      <c r="AD93" s="311"/>
    </row>
    <row r="94" spans="1:30" ht="15.75" hidden="1" customHeight="1" x14ac:dyDescent="0.15">
      <c r="A94" s="290"/>
      <c r="B94" s="303"/>
      <c r="C94" s="303"/>
      <c r="D94" s="301" t="s">
        <v>265</v>
      </c>
      <c r="E94" s="302" t="s">
        <v>280</v>
      </c>
      <c r="F94" s="303" t="s">
        <v>224</v>
      </c>
      <c r="G94" s="303" t="s">
        <v>22</v>
      </c>
      <c r="H94" s="303" t="s">
        <v>48</v>
      </c>
      <c r="I94" s="331">
        <f t="shared" si="18"/>
        <v>3.1077026243088043E-2</v>
      </c>
      <c r="J94" s="305">
        <v>1000000</v>
      </c>
      <c r="K94" s="306"/>
      <c r="L94" s="307"/>
      <c r="M94" s="307"/>
      <c r="N94" s="308"/>
      <c r="O94" s="309"/>
      <c r="P94" s="334">
        <f>J94/Q94*1000</f>
        <v>2631578.9473684211</v>
      </c>
      <c r="Q94" s="305">
        <v>380</v>
      </c>
      <c r="R94" s="333">
        <v>1.1000000000000001</v>
      </c>
      <c r="S94" s="334">
        <f t="shared" si="19"/>
        <v>2392344.4976076554</v>
      </c>
      <c r="T94" s="306"/>
      <c r="U94" s="306"/>
      <c r="V94" s="306"/>
      <c r="W94" s="310"/>
      <c r="X94" s="306"/>
      <c r="Y94" s="310"/>
      <c r="Z94" s="306"/>
      <c r="AA94" s="306"/>
      <c r="AB94" s="311"/>
      <c r="AC94" s="311"/>
      <c r="AD94" s="311"/>
    </row>
    <row r="95" spans="1:30" ht="15.75" hidden="1" customHeight="1" x14ac:dyDescent="0.15">
      <c r="A95" s="290"/>
      <c r="B95" s="303"/>
      <c r="C95" s="303"/>
      <c r="D95" s="301" t="s">
        <v>266</v>
      </c>
      <c r="E95" s="302" t="s">
        <v>280</v>
      </c>
      <c r="F95" s="303" t="s">
        <v>224</v>
      </c>
      <c r="G95" s="303" t="s">
        <v>22</v>
      </c>
      <c r="H95" s="303" t="s">
        <v>65</v>
      </c>
      <c r="I95" s="331">
        <f t="shared" si="18"/>
        <v>3.1077026243088043E-2</v>
      </c>
      <c r="J95" s="305">
        <v>1000000</v>
      </c>
      <c r="K95" s="306"/>
      <c r="L95" s="307"/>
      <c r="M95" s="307"/>
      <c r="N95" s="308"/>
      <c r="O95" s="309"/>
      <c r="P95" s="334">
        <f>J95/Q95*1000</f>
        <v>2222222.222222222</v>
      </c>
      <c r="Q95" s="305">
        <v>450</v>
      </c>
      <c r="R95" s="333">
        <v>1.1000000000000001</v>
      </c>
      <c r="S95" s="334">
        <f t="shared" si="19"/>
        <v>2020202.02020202</v>
      </c>
      <c r="T95" s="306"/>
      <c r="U95" s="306"/>
      <c r="V95" s="306"/>
      <c r="W95" s="310"/>
      <c r="X95" s="306"/>
      <c r="Y95" s="310"/>
      <c r="Z95" s="306"/>
      <c r="AA95" s="306"/>
      <c r="AB95" s="311"/>
      <c r="AC95" s="311"/>
      <c r="AD95" s="311"/>
    </row>
    <row r="96" spans="1:30" ht="15.75" hidden="1" customHeight="1" x14ac:dyDescent="0.15">
      <c r="A96" s="290"/>
      <c r="B96" s="303"/>
      <c r="C96" s="303"/>
      <c r="D96" s="301" t="s">
        <v>267</v>
      </c>
      <c r="E96" s="302" t="s">
        <v>280</v>
      </c>
      <c r="F96" s="303" t="s">
        <v>224</v>
      </c>
      <c r="G96" s="303" t="s">
        <v>22</v>
      </c>
      <c r="H96" s="303" t="s">
        <v>58</v>
      </c>
      <c r="I96" s="331">
        <f t="shared" si="18"/>
        <v>3.1077026243088043E-2</v>
      </c>
      <c r="J96" s="305">
        <v>1000000</v>
      </c>
      <c r="K96" s="306"/>
      <c r="L96" s="307"/>
      <c r="M96" s="307"/>
      <c r="N96" s="308"/>
      <c r="O96" s="309"/>
      <c r="P96" s="334">
        <f>J96/Q96*1000</f>
        <v>2222222.222222222</v>
      </c>
      <c r="Q96" s="305">
        <v>450</v>
      </c>
      <c r="R96" s="333">
        <v>1.1000000000000001</v>
      </c>
      <c r="S96" s="334">
        <f t="shared" si="19"/>
        <v>2020202.02020202</v>
      </c>
      <c r="T96" s="306"/>
      <c r="U96" s="306"/>
      <c r="V96" s="306"/>
      <c r="W96" s="310"/>
      <c r="X96" s="306"/>
      <c r="Y96" s="310"/>
      <c r="Z96" s="306"/>
      <c r="AA96" s="306"/>
      <c r="AB96" s="311"/>
      <c r="AC96" s="311"/>
      <c r="AD96" s="311"/>
    </row>
    <row r="97" spans="1:30" ht="15.75" hidden="1" customHeight="1" x14ac:dyDescent="0.15">
      <c r="A97" s="290"/>
      <c r="B97" s="303"/>
      <c r="C97" s="303"/>
      <c r="D97" s="301" t="s">
        <v>268</v>
      </c>
      <c r="E97" s="302" t="s">
        <v>280</v>
      </c>
      <c r="F97" s="303" t="s">
        <v>237</v>
      </c>
      <c r="G97" s="303" t="s">
        <v>19</v>
      </c>
      <c r="H97" s="303" t="s">
        <v>65</v>
      </c>
      <c r="I97" s="331">
        <f t="shared" si="18"/>
        <v>9.323107872926413E-2</v>
      </c>
      <c r="J97" s="305">
        <v>3000000</v>
      </c>
      <c r="K97" s="346">
        <v>5</v>
      </c>
      <c r="L97" s="334">
        <f>J97/K97</f>
        <v>600000</v>
      </c>
      <c r="M97" s="334">
        <v>2</v>
      </c>
      <c r="N97" s="347">
        <f>L97/M97</f>
        <v>300000</v>
      </c>
      <c r="O97" s="348">
        <v>0.2</v>
      </c>
      <c r="P97" s="334">
        <f>L97*O97</f>
        <v>120000</v>
      </c>
      <c r="Q97" s="305">
        <f>J97*1000/P97</f>
        <v>25000</v>
      </c>
      <c r="R97" s="333">
        <v>1.1000000000000001</v>
      </c>
      <c r="S97" s="334">
        <f t="shared" si="19"/>
        <v>109090.90909090909</v>
      </c>
      <c r="T97" s="306"/>
      <c r="U97" s="306"/>
      <c r="V97" s="306"/>
      <c r="W97" s="310"/>
      <c r="X97" s="306"/>
      <c r="Y97" s="310"/>
      <c r="Z97" s="306"/>
      <c r="AA97" s="306"/>
      <c r="AB97" s="311"/>
      <c r="AC97" s="311"/>
      <c r="AD97" s="311"/>
    </row>
    <row r="98" spans="1:30" ht="15.75" hidden="1" customHeight="1" x14ac:dyDescent="0.15">
      <c r="A98" s="290"/>
      <c r="B98" s="303"/>
      <c r="C98" s="303"/>
      <c r="D98" s="301" t="s">
        <v>233</v>
      </c>
      <c r="E98" s="302" t="s">
        <v>280</v>
      </c>
      <c r="F98" s="303" t="s">
        <v>237</v>
      </c>
      <c r="G98" s="303" t="s">
        <v>22</v>
      </c>
      <c r="H98" s="303" t="s">
        <v>65</v>
      </c>
      <c r="I98" s="331">
        <f t="shared" si="18"/>
        <v>7.7692565607720102E-2</v>
      </c>
      <c r="J98" s="305">
        <v>2500000</v>
      </c>
      <c r="K98" s="306"/>
      <c r="L98" s="307"/>
      <c r="M98" s="307"/>
      <c r="N98" s="308"/>
      <c r="O98" s="309"/>
      <c r="P98" s="334">
        <f>J98/Q98*1000</f>
        <v>5555555.555555556</v>
      </c>
      <c r="Q98" s="305">
        <v>450</v>
      </c>
      <c r="R98" s="333">
        <v>1.1000000000000001</v>
      </c>
      <c r="S98" s="334">
        <f t="shared" si="19"/>
        <v>5050505.0505050505</v>
      </c>
      <c r="T98" s="306"/>
      <c r="U98" s="306"/>
      <c r="V98" s="306"/>
      <c r="W98" s="310"/>
      <c r="X98" s="306"/>
      <c r="Y98" s="310"/>
      <c r="Z98" s="306"/>
      <c r="AA98" s="306"/>
      <c r="AB98" s="311"/>
      <c r="AC98" s="311"/>
      <c r="AD98" s="311"/>
    </row>
    <row r="99" spans="1:30" ht="15.75" hidden="1" customHeight="1" x14ac:dyDescent="0.15">
      <c r="A99" s="290"/>
      <c r="B99" s="303"/>
      <c r="C99" s="303"/>
      <c r="D99" s="393" t="s">
        <v>269</v>
      </c>
      <c r="E99" s="394"/>
      <c r="F99" s="395"/>
      <c r="G99" s="395"/>
      <c r="H99" s="395"/>
      <c r="I99" s="310"/>
      <c r="J99" s="396"/>
      <c r="K99" s="397"/>
      <c r="L99" s="398"/>
      <c r="M99" s="398"/>
      <c r="N99" s="399"/>
      <c r="O99" s="400"/>
      <c r="P99" s="398"/>
      <c r="Q99" s="396"/>
      <c r="R99" s="401"/>
      <c r="S99" s="398"/>
      <c r="T99" s="306"/>
      <c r="U99" s="306"/>
      <c r="V99" s="306"/>
      <c r="W99" s="310"/>
      <c r="X99" s="306"/>
      <c r="Y99" s="310"/>
      <c r="Z99" s="306"/>
      <c r="AA99" s="306"/>
      <c r="AB99" s="311"/>
      <c r="AC99" s="311"/>
      <c r="AD99" s="311"/>
    </row>
    <row r="100" spans="1:30" ht="15.75" hidden="1" customHeight="1" x14ac:dyDescent="0.15">
      <c r="A100" s="290"/>
      <c r="B100" s="303"/>
      <c r="C100" s="303"/>
      <c r="D100" s="393" t="s">
        <v>270</v>
      </c>
      <c r="E100" s="394"/>
      <c r="F100" s="395"/>
      <c r="G100" s="395"/>
      <c r="H100" s="395"/>
      <c r="I100" s="310"/>
      <c r="J100" s="396"/>
      <c r="K100" s="306"/>
      <c r="L100" s="307"/>
      <c r="M100" s="307"/>
      <c r="N100" s="308"/>
      <c r="O100" s="309"/>
      <c r="P100" s="398"/>
      <c r="Q100" s="396"/>
      <c r="R100" s="401"/>
      <c r="S100" s="398"/>
      <c r="T100" s="306"/>
      <c r="U100" s="306"/>
      <c r="V100" s="306"/>
      <c r="W100" s="310"/>
      <c r="X100" s="306"/>
      <c r="Y100" s="310"/>
      <c r="Z100" s="306"/>
      <c r="AA100" s="306"/>
      <c r="AB100" s="311"/>
      <c r="AC100" s="311"/>
      <c r="AD100" s="311"/>
    </row>
    <row r="101" spans="1:30" ht="15.75" hidden="1" customHeight="1" x14ac:dyDescent="0.15">
      <c r="A101" s="290"/>
      <c r="B101" s="303"/>
      <c r="C101" s="303"/>
      <c r="D101" s="393" t="s">
        <v>271</v>
      </c>
      <c r="E101" s="394"/>
      <c r="F101" s="395"/>
      <c r="G101" s="395"/>
      <c r="H101" s="395"/>
      <c r="I101" s="310"/>
      <c r="J101" s="396"/>
      <c r="K101" s="397"/>
      <c r="L101" s="398"/>
      <c r="M101" s="398"/>
      <c r="N101" s="399"/>
      <c r="O101" s="400"/>
      <c r="P101" s="398"/>
      <c r="Q101" s="396"/>
      <c r="R101" s="401"/>
      <c r="S101" s="398"/>
      <c r="T101" s="306"/>
      <c r="U101" s="306"/>
      <c r="V101" s="306"/>
      <c r="W101" s="310"/>
      <c r="X101" s="306"/>
      <c r="Y101" s="310"/>
      <c r="Z101" s="306"/>
      <c r="AA101" s="306"/>
      <c r="AB101" s="311"/>
      <c r="AC101" s="311"/>
      <c r="AD101" s="311"/>
    </row>
    <row r="102" spans="1:30" ht="15.75" hidden="1" customHeight="1" x14ac:dyDescent="0.15">
      <c r="A102" s="290"/>
      <c r="B102" s="303"/>
      <c r="C102" s="303"/>
      <c r="D102" s="393" t="s">
        <v>272</v>
      </c>
      <c r="E102" s="394"/>
      <c r="F102" s="395"/>
      <c r="G102" s="395"/>
      <c r="H102" s="395"/>
      <c r="I102" s="310"/>
      <c r="J102" s="396"/>
      <c r="K102" s="306"/>
      <c r="L102" s="307"/>
      <c r="M102" s="307"/>
      <c r="N102" s="308"/>
      <c r="O102" s="309"/>
      <c r="P102" s="398"/>
      <c r="Q102" s="396"/>
      <c r="R102" s="401"/>
      <c r="S102" s="398"/>
      <c r="T102" s="306"/>
      <c r="U102" s="306"/>
      <c r="V102" s="306"/>
      <c r="W102" s="310"/>
      <c r="X102" s="306"/>
      <c r="Y102" s="310"/>
      <c r="Z102" s="306"/>
      <c r="AA102" s="306"/>
      <c r="AB102" s="311"/>
      <c r="AC102" s="311"/>
      <c r="AD102" s="311"/>
    </row>
    <row r="103" spans="1:30" ht="15.75" hidden="1" customHeight="1" x14ac:dyDescent="0.15">
      <c r="A103" s="290"/>
      <c r="B103" s="303"/>
      <c r="C103" s="303"/>
      <c r="D103" s="393" t="s">
        <v>273</v>
      </c>
      <c r="E103" s="394"/>
      <c r="F103" s="395"/>
      <c r="G103" s="402"/>
      <c r="H103" s="402"/>
      <c r="I103" s="310"/>
      <c r="J103" s="396"/>
      <c r="K103" s="397"/>
      <c r="L103" s="398"/>
      <c r="M103" s="398"/>
      <c r="N103" s="399"/>
      <c r="O103" s="400"/>
      <c r="P103" s="398"/>
      <c r="Q103" s="396"/>
      <c r="R103" s="401"/>
      <c r="S103" s="398"/>
      <c r="T103" s="306"/>
      <c r="U103" s="306"/>
      <c r="V103" s="306"/>
      <c r="W103" s="310"/>
      <c r="X103" s="306"/>
      <c r="Y103" s="310"/>
      <c r="Z103" s="306"/>
      <c r="AA103" s="306"/>
      <c r="AB103" s="311"/>
      <c r="AC103" s="311"/>
      <c r="AD103" s="311"/>
    </row>
    <row r="104" spans="1:30" ht="15.75" hidden="1" customHeight="1" x14ac:dyDescent="0.15">
      <c r="A104" s="290"/>
      <c r="B104" s="303"/>
      <c r="C104" s="303"/>
      <c r="D104" s="393" t="s">
        <v>274</v>
      </c>
      <c r="E104" s="394"/>
      <c r="F104" s="395"/>
      <c r="G104" s="402"/>
      <c r="H104" s="402"/>
      <c r="I104" s="310"/>
      <c r="J104" s="396"/>
      <c r="K104" s="306"/>
      <c r="L104" s="307"/>
      <c r="M104" s="307"/>
      <c r="N104" s="308"/>
      <c r="O104" s="309"/>
      <c r="P104" s="398"/>
      <c r="Q104" s="396"/>
      <c r="R104" s="401"/>
      <c r="S104" s="398"/>
      <c r="T104" s="306"/>
      <c r="U104" s="306"/>
      <c r="V104" s="306"/>
      <c r="W104" s="310"/>
      <c r="X104" s="306"/>
      <c r="Y104" s="310"/>
      <c r="Z104" s="306"/>
      <c r="AA104" s="306"/>
      <c r="AB104" s="311"/>
      <c r="AC104" s="311"/>
      <c r="AD104" s="311"/>
    </row>
    <row r="105" spans="1:30" ht="15.75" hidden="1" customHeight="1" x14ac:dyDescent="0.15">
      <c r="A105" s="290"/>
      <c r="B105" s="303"/>
      <c r="C105" s="303"/>
      <c r="D105" s="301" t="s">
        <v>241</v>
      </c>
      <c r="E105" s="302" t="s">
        <v>280</v>
      </c>
      <c r="F105" s="303" t="s">
        <v>240</v>
      </c>
      <c r="G105" s="345" t="s">
        <v>19</v>
      </c>
      <c r="H105" s="345" t="s">
        <v>48</v>
      </c>
      <c r="I105" s="331">
        <f>J105/$J$115</f>
        <v>6.2154052486176087E-2</v>
      </c>
      <c r="J105" s="305">
        <v>2000000</v>
      </c>
      <c r="K105" s="346">
        <v>4</v>
      </c>
      <c r="L105" s="334">
        <f>J105/K105</f>
        <v>500000</v>
      </c>
      <c r="M105" s="334">
        <v>10</v>
      </c>
      <c r="N105" s="347">
        <f>L105/M105</f>
        <v>50000</v>
      </c>
      <c r="O105" s="348">
        <v>0.2</v>
      </c>
      <c r="P105" s="334">
        <f>L105*O105</f>
        <v>100000</v>
      </c>
      <c r="Q105" s="305">
        <f>J105*1000/P105</f>
        <v>20000</v>
      </c>
      <c r="R105" s="333">
        <v>1.1000000000000001</v>
      </c>
      <c r="S105" s="334">
        <f>P105/R105</f>
        <v>90909.090909090897</v>
      </c>
      <c r="T105" s="306"/>
      <c r="U105" s="306"/>
      <c r="V105" s="306"/>
      <c r="W105" s="310"/>
      <c r="X105" s="306"/>
      <c r="Y105" s="310"/>
      <c r="Z105" s="306"/>
      <c r="AA105" s="306"/>
      <c r="AB105" s="311"/>
      <c r="AC105" s="311"/>
      <c r="AD105" s="311"/>
    </row>
    <row r="106" spans="1:30" ht="15.75" hidden="1" customHeight="1" x14ac:dyDescent="0.15">
      <c r="A106" s="290"/>
      <c r="B106" s="303"/>
      <c r="C106" s="303"/>
      <c r="D106" s="301" t="s">
        <v>235</v>
      </c>
      <c r="E106" s="302" t="s">
        <v>280</v>
      </c>
      <c r="F106" s="303" t="s">
        <v>240</v>
      </c>
      <c r="G106" s="345" t="s">
        <v>22</v>
      </c>
      <c r="H106" s="345" t="s">
        <v>48</v>
      </c>
      <c r="I106" s="331">
        <f>J106/$J$115</f>
        <v>3.1077026243088043E-2</v>
      </c>
      <c r="J106" s="305">
        <v>1000000</v>
      </c>
      <c r="K106" s="306"/>
      <c r="L106" s="307"/>
      <c r="M106" s="307"/>
      <c r="N106" s="308"/>
      <c r="O106" s="309"/>
      <c r="P106" s="334">
        <f>J106/Q106*1000</f>
        <v>2631578.9473684211</v>
      </c>
      <c r="Q106" s="305">
        <v>380</v>
      </c>
      <c r="R106" s="333">
        <v>1.1000000000000001</v>
      </c>
      <c r="S106" s="334">
        <f>P106/R106</f>
        <v>2392344.4976076554</v>
      </c>
      <c r="T106" s="306"/>
      <c r="U106" s="306"/>
      <c r="V106" s="306"/>
      <c r="W106" s="310"/>
      <c r="X106" s="306"/>
      <c r="Y106" s="310"/>
      <c r="Z106" s="306"/>
      <c r="AA106" s="306"/>
      <c r="AB106" s="311"/>
      <c r="AC106" s="311"/>
      <c r="AD106" s="311"/>
    </row>
    <row r="107" spans="1:30" ht="15.75" hidden="1" customHeight="1" x14ac:dyDescent="0.15">
      <c r="A107" s="290"/>
      <c r="B107" s="303"/>
      <c r="C107" s="303"/>
      <c r="D107" s="301" t="s">
        <v>239</v>
      </c>
      <c r="E107" s="302" t="s">
        <v>280</v>
      </c>
      <c r="F107" s="303" t="s">
        <v>240</v>
      </c>
      <c r="G107" s="345" t="s">
        <v>19</v>
      </c>
      <c r="H107" s="345" t="s">
        <v>227</v>
      </c>
      <c r="I107" s="331">
        <f>J107/$J$115</f>
        <v>6.2154052486176087E-2</v>
      </c>
      <c r="J107" s="305">
        <v>2000000</v>
      </c>
      <c r="K107" s="346">
        <v>4</v>
      </c>
      <c r="L107" s="334">
        <f>J107/K107</f>
        <v>500000</v>
      </c>
      <c r="M107" s="334">
        <v>30</v>
      </c>
      <c r="N107" s="347">
        <f>L107/M107</f>
        <v>16666.666666666668</v>
      </c>
      <c r="O107" s="348">
        <v>0.2</v>
      </c>
      <c r="P107" s="334">
        <f>L107*O107</f>
        <v>100000</v>
      </c>
      <c r="Q107" s="305">
        <f>J107*1000/P107</f>
        <v>20000</v>
      </c>
      <c r="R107" s="333">
        <v>1.1000000000000001</v>
      </c>
      <c r="S107" s="334">
        <f>P107/R107</f>
        <v>90909.090909090897</v>
      </c>
      <c r="T107" s="306"/>
      <c r="U107" s="306"/>
      <c r="V107" s="306"/>
      <c r="W107" s="310"/>
      <c r="X107" s="306"/>
      <c r="Y107" s="310"/>
      <c r="Z107" s="306"/>
      <c r="AA107" s="306"/>
      <c r="AB107" s="311"/>
      <c r="AC107" s="311"/>
      <c r="AD107" s="311"/>
    </row>
    <row r="108" spans="1:30" ht="15.75" hidden="1" customHeight="1" x14ac:dyDescent="0.15">
      <c r="A108" s="290"/>
      <c r="B108" s="303"/>
      <c r="C108" s="303"/>
      <c r="D108" s="301" t="s">
        <v>234</v>
      </c>
      <c r="E108" s="302" t="s">
        <v>280</v>
      </c>
      <c r="F108" s="303" t="s">
        <v>240</v>
      </c>
      <c r="G108" s="345" t="s">
        <v>22</v>
      </c>
      <c r="H108" s="345" t="s">
        <v>227</v>
      </c>
      <c r="I108" s="331">
        <f>J108/$J$115</f>
        <v>3.1077026243088043E-2</v>
      </c>
      <c r="J108" s="305">
        <v>1000000</v>
      </c>
      <c r="K108" s="306"/>
      <c r="L108" s="307"/>
      <c r="M108" s="307"/>
      <c r="N108" s="308"/>
      <c r="O108" s="309"/>
      <c r="P108" s="334">
        <f>J108/Q108*1000</f>
        <v>2631578.9473684211</v>
      </c>
      <c r="Q108" s="305">
        <v>380</v>
      </c>
      <c r="R108" s="333">
        <v>1.1000000000000001</v>
      </c>
      <c r="S108" s="334">
        <f>P108/R108</f>
        <v>2392344.4976076554</v>
      </c>
      <c r="T108" s="306"/>
      <c r="U108" s="306"/>
      <c r="V108" s="306"/>
      <c r="W108" s="310"/>
      <c r="X108" s="306"/>
      <c r="Y108" s="310"/>
      <c r="Z108" s="306"/>
      <c r="AA108" s="306"/>
      <c r="AB108" s="311"/>
      <c r="AC108" s="311"/>
      <c r="AD108" s="311"/>
    </row>
    <row r="109" spans="1:30" ht="15.75" hidden="1" customHeight="1" x14ac:dyDescent="0.15">
      <c r="A109" s="290"/>
      <c r="B109" s="303"/>
      <c r="C109" s="303"/>
      <c r="D109" s="393" t="s">
        <v>275</v>
      </c>
      <c r="E109" s="394"/>
      <c r="F109" s="395"/>
      <c r="G109" s="402"/>
      <c r="H109" s="402"/>
      <c r="I109" s="310"/>
      <c r="J109" s="396"/>
      <c r="K109" s="397"/>
      <c r="L109" s="398"/>
      <c r="M109" s="398"/>
      <c r="N109" s="399"/>
      <c r="O109" s="400"/>
      <c r="P109" s="398"/>
      <c r="Q109" s="396"/>
      <c r="R109" s="401"/>
      <c r="S109" s="398"/>
      <c r="T109" s="306"/>
      <c r="U109" s="306"/>
      <c r="V109" s="306"/>
      <c r="W109" s="310"/>
      <c r="X109" s="306"/>
      <c r="Y109" s="310"/>
      <c r="Z109" s="306"/>
      <c r="AA109" s="306"/>
      <c r="AB109" s="311"/>
      <c r="AC109" s="311"/>
      <c r="AD109" s="311"/>
    </row>
    <row r="110" spans="1:30" ht="15.75" hidden="1" customHeight="1" x14ac:dyDescent="0.15">
      <c r="A110" s="290"/>
      <c r="B110" s="303"/>
      <c r="C110" s="303"/>
      <c r="D110" s="393" t="s">
        <v>276</v>
      </c>
      <c r="E110" s="394"/>
      <c r="F110" s="395"/>
      <c r="G110" s="402"/>
      <c r="H110" s="402"/>
      <c r="I110" s="310"/>
      <c r="J110" s="396"/>
      <c r="K110" s="306"/>
      <c r="L110" s="307"/>
      <c r="M110" s="307"/>
      <c r="N110" s="308"/>
      <c r="O110" s="309"/>
      <c r="P110" s="398"/>
      <c r="Q110" s="396"/>
      <c r="R110" s="401"/>
      <c r="S110" s="398"/>
      <c r="T110" s="306"/>
      <c r="U110" s="306"/>
      <c r="V110" s="306"/>
      <c r="W110" s="310"/>
      <c r="X110" s="306"/>
      <c r="Y110" s="310"/>
      <c r="Z110" s="306"/>
      <c r="AA110" s="306"/>
      <c r="AB110" s="311"/>
      <c r="AC110" s="311"/>
      <c r="AD110" s="311"/>
    </row>
    <row r="111" spans="1:30" ht="15.75" hidden="1" customHeight="1" x14ac:dyDescent="0.15">
      <c r="A111" s="290"/>
      <c r="B111" s="303"/>
      <c r="C111" s="303"/>
      <c r="D111" s="393" t="s">
        <v>242</v>
      </c>
      <c r="E111" s="394"/>
      <c r="F111" s="395"/>
      <c r="G111" s="402"/>
      <c r="H111" s="402"/>
      <c r="I111" s="310"/>
      <c r="J111" s="396"/>
      <c r="K111" s="397"/>
      <c r="L111" s="398"/>
      <c r="M111" s="398"/>
      <c r="N111" s="399"/>
      <c r="O111" s="400"/>
      <c r="P111" s="398"/>
      <c r="Q111" s="396"/>
      <c r="R111" s="401"/>
      <c r="S111" s="398"/>
      <c r="T111" s="306"/>
      <c r="U111" s="306"/>
      <c r="V111" s="306"/>
      <c r="W111" s="310"/>
      <c r="X111" s="306"/>
      <c r="Y111" s="310"/>
      <c r="Z111" s="306"/>
      <c r="AA111" s="306"/>
      <c r="AB111" s="311"/>
      <c r="AC111" s="311"/>
      <c r="AD111" s="311"/>
    </row>
    <row r="112" spans="1:30" ht="15.75" hidden="1" customHeight="1" x14ac:dyDescent="0.15">
      <c r="A112" s="290"/>
      <c r="B112" s="303"/>
      <c r="C112" s="303"/>
      <c r="D112" s="301" t="s">
        <v>244</v>
      </c>
      <c r="E112" s="302" t="s">
        <v>280</v>
      </c>
      <c r="F112" s="303" t="s">
        <v>243</v>
      </c>
      <c r="G112" s="345" t="s">
        <v>25</v>
      </c>
      <c r="H112" s="345" t="s">
        <v>245</v>
      </c>
      <c r="I112" s="331">
        <f>J112/$J$115</f>
        <v>3.1077026243088043E-2</v>
      </c>
      <c r="J112" s="305">
        <v>1000000</v>
      </c>
      <c r="K112" s="306"/>
      <c r="L112" s="306"/>
      <c r="M112" s="306"/>
      <c r="N112" s="306"/>
      <c r="O112" s="306"/>
      <c r="P112" s="306"/>
      <c r="Q112" s="306"/>
      <c r="R112" s="306"/>
      <c r="S112" s="306"/>
      <c r="T112" s="306"/>
      <c r="U112" s="306"/>
      <c r="V112" s="306"/>
      <c r="W112" s="310"/>
      <c r="X112" s="306"/>
      <c r="Y112" s="310"/>
      <c r="Z112" s="306"/>
      <c r="AA112" s="332">
        <v>1000</v>
      </c>
      <c r="AB112" s="340"/>
      <c r="AC112" s="340">
        <f>AA112*50000</f>
        <v>50000000</v>
      </c>
      <c r="AD112" s="340"/>
    </row>
    <row r="113" spans="1:30" ht="15.75" hidden="1" customHeight="1" x14ac:dyDescent="0.15">
      <c r="A113" s="290"/>
      <c r="B113" s="403"/>
      <c r="C113" s="403"/>
      <c r="D113" s="404" t="s">
        <v>277</v>
      </c>
      <c r="E113" s="302" t="s">
        <v>280</v>
      </c>
      <c r="F113" s="303" t="s">
        <v>210</v>
      </c>
      <c r="G113" s="303" t="s">
        <v>25</v>
      </c>
      <c r="H113" s="303" t="s">
        <v>227</v>
      </c>
      <c r="I113" s="331">
        <f>J113/$J$115</f>
        <v>4.6615539364632065E-2</v>
      </c>
      <c r="J113" s="361">
        <v>1500000</v>
      </c>
      <c r="K113" s="359">
        <v>2</v>
      </c>
      <c r="L113" s="332">
        <f>M113*N113</f>
        <v>1000000</v>
      </c>
      <c r="M113" s="332">
        <v>100</v>
      </c>
      <c r="N113" s="332">
        <v>10000</v>
      </c>
      <c r="O113" s="360">
        <v>0.2</v>
      </c>
      <c r="P113" s="332">
        <f>N113*O113</f>
        <v>2000</v>
      </c>
      <c r="Q113" s="361">
        <f>J113*1000/P113</f>
        <v>750000</v>
      </c>
      <c r="R113" s="362">
        <v>1.1000000000000001</v>
      </c>
      <c r="S113" s="332">
        <f>P113/R113</f>
        <v>1818.181818181818</v>
      </c>
      <c r="T113" s="306"/>
      <c r="U113" s="306"/>
      <c r="V113" s="306"/>
      <c r="W113" s="310"/>
      <c r="X113" s="306"/>
      <c r="Y113" s="310"/>
      <c r="Z113" s="306"/>
      <c r="AA113" s="332">
        <f>J113*5/70000</f>
        <v>107.14285714285714</v>
      </c>
      <c r="AB113" s="340"/>
      <c r="AC113" s="340">
        <f>AA113*50000</f>
        <v>5357142.8571428573</v>
      </c>
      <c r="AD113" s="340"/>
    </row>
    <row r="114" spans="1:30" ht="15.75" hidden="1" customHeight="1" x14ac:dyDescent="0.15">
      <c r="A114" s="290"/>
      <c r="B114" s="403"/>
      <c r="C114" s="403"/>
      <c r="D114" s="405" t="s">
        <v>278</v>
      </c>
      <c r="E114" s="302" t="s">
        <v>280</v>
      </c>
      <c r="F114" s="406" t="s">
        <v>210</v>
      </c>
      <c r="G114" s="406" t="s">
        <v>25</v>
      </c>
      <c r="H114" s="406" t="s">
        <v>279</v>
      </c>
      <c r="I114" s="331">
        <f>J114/$J$115</f>
        <v>0.44061352762441525</v>
      </c>
      <c r="J114" s="407">
        <v>14178111</v>
      </c>
      <c r="K114" s="408"/>
      <c r="L114" s="408"/>
      <c r="M114" s="408"/>
      <c r="N114" s="408"/>
      <c r="O114" s="408"/>
      <c r="P114" s="408"/>
      <c r="Q114" s="408"/>
      <c r="R114" s="408"/>
      <c r="S114" s="408"/>
      <c r="T114" s="306"/>
      <c r="U114" s="306"/>
      <c r="V114" s="306"/>
      <c r="W114" s="310"/>
      <c r="X114" s="306"/>
      <c r="Y114" s="310"/>
      <c r="Z114" s="306"/>
      <c r="AA114" s="409">
        <v>1325</v>
      </c>
      <c r="AB114" s="410"/>
      <c r="AC114" s="410">
        <f>AA114*50000</f>
        <v>66250000</v>
      </c>
      <c r="AD114" s="340"/>
    </row>
    <row r="115" spans="1:30" ht="15.75" hidden="1" customHeight="1" x14ac:dyDescent="0.15">
      <c r="A115" s="290"/>
      <c r="B115" s="313"/>
      <c r="C115" s="313"/>
      <c r="D115" s="314" t="s">
        <v>27</v>
      </c>
      <c r="E115" s="315"/>
      <c r="F115" s="315"/>
      <c r="G115" s="315"/>
      <c r="H115" s="315"/>
      <c r="I115" s="316">
        <f>J115/J115</f>
        <v>1</v>
      </c>
      <c r="J115" s="317">
        <f>SUM(J93:J114)</f>
        <v>32178111</v>
      </c>
      <c r="K115" s="315"/>
      <c r="L115" s="318"/>
      <c r="M115" s="318">
        <f>SUM(M93:M114)</f>
        <v>142</v>
      </c>
      <c r="N115" s="318"/>
      <c r="O115" s="318"/>
      <c r="P115" s="318">
        <f>SUM(P93:P114)</f>
        <v>20848315.789473683</v>
      </c>
      <c r="Q115" s="318">
        <f>J115/P115*1000</f>
        <v>1543.4393514053895</v>
      </c>
      <c r="R115" s="319">
        <f>P115/T115</f>
        <v>5.4999999999999991</v>
      </c>
      <c r="S115" s="318">
        <f>SUM(S93:S114)</f>
        <v>18953014.354066987</v>
      </c>
      <c r="T115" s="318">
        <f>S115/5</f>
        <v>3790602.8708133972</v>
      </c>
      <c r="U115" s="318"/>
      <c r="V115" s="318"/>
      <c r="W115" s="320"/>
      <c r="X115" s="318"/>
      <c r="Y115" s="320"/>
      <c r="Z115" s="318"/>
      <c r="AA115" s="318">
        <f>SUM(AA96:AA114)</f>
        <v>2432.1428571428569</v>
      </c>
      <c r="AB115" s="317"/>
      <c r="AC115" s="317">
        <f>SUM(AC96:AC114)</f>
        <v>121607142.85714287</v>
      </c>
      <c r="AD115" s="317"/>
    </row>
    <row r="116" spans="1:30" ht="15.75" hidden="1" customHeight="1" x14ac:dyDescent="0.15">
      <c r="A116" s="290"/>
      <c r="B116" s="290"/>
      <c r="C116" s="290"/>
      <c r="D116" s="290"/>
      <c r="E116" s="290"/>
      <c r="F116" s="290"/>
      <c r="G116" s="290"/>
      <c r="H116" s="290"/>
      <c r="I116" s="290"/>
      <c r="J116" s="290"/>
      <c r="K116" s="290"/>
      <c r="L116" s="290"/>
      <c r="M116" s="290"/>
      <c r="N116" s="290"/>
      <c r="O116" s="290"/>
      <c r="P116" s="290"/>
      <c r="Q116" s="290"/>
      <c r="R116" s="290"/>
      <c r="S116" s="290"/>
      <c r="T116" s="290"/>
      <c r="U116" s="290"/>
      <c r="V116" s="290"/>
      <c r="W116" s="291"/>
      <c r="X116" s="290"/>
      <c r="Y116" s="291"/>
      <c r="Z116" s="290"/>
      <c r="AA116" s="290"/>
      <c r="AB116" s="292"/>
      <c r="AC116" s="292"/>
      <c r="AD116" s="292"/>
    </row>
    <row r="117" spans="1:30" ht="15.75" hidden="1" customHeight="1" x14ac:dyDescent="0.15">
      <c r="A117" s="290"/>
      <c r="B117" s="390"/>
      <c r="C117" s="390"/>
      <c r="D117" s="295" t="s">
        <v>60</v>
      </c>
      <c r="E117" s="392"/>
      <c r="F117" s="296"/>
      <c r="G117" s="296"/>
      <c r="H117" s="296"/>
      <c r="I117" s="296"/>
      <c r="J117" s="296"/>
      <c r="K117" s="296"/>
      <c r="L117" s="296"/>
      <c r="M117" s="296"/>
      <c r="N117" s="296"/>
      <c r="O117" s="296"/>
      <c r="P117" s="296"/>
      <c r="Q117" s="296"/>
      <c r="R117" s="296"/>
      <c r="S117" s="296"/>
      <c r="T117" s="296"/>
      <c r="U117" s="296"/>
      <c r="V117" s="296"/>
      <c r="W117" s="297"/>
      <c r="X117" s="296"/>
      <c r="Y117" s="297"/>
      <c r="Z117" s="296"/>
      <c r="AA117" s="296"/>
      <c r="AB117" s="298"/>
      <c r="AC117" s="298"/>
      <c r="AD117" s="299"/>
    </row>
    <row r="118" spans="1:30" ht="15.75" hidden="1" customHeight="1" x14ac:dyDescent="0.15">
      <c r="A118" s="290"/>
      <c r="B118" s="303"/>
      <c r="C118" s="303"/>
      <c r="D118" s="301" t="s">
        <v>264</v>
      </c>
      <c r="E118" s="302" t="s">
        <v>281</v>
      </c>
      <c r="F118" s="303" t="s">
        <v>224</v>
      </c>
      <c r="G118" s="303" t="s">
        <v>22</v>
      </c>
      <c r="H118" s="303" t="s">
        <v>227</v>
      </c>
      <c r="I118" s="331">
        <f>J118/$J$140</f>
        <v>1.6156584446346971E-2</v>
      </c>
      <c r="J118" s="305">
        <v>1000000</v>
      </c>
      <c r="K118" s="306"/>
      <c r="L118" s="307"/>
      <c r="M118" s="307"/>
      <c r="N118" s="308"/>
      <c r="O118" s="309"/>
      <c r="P118" s="334">
        <f>J118/Q118*1000</f>
        <v>2631578.9473684211</v>
      </c>
      <c r="Q118" s="305">
        <v>380</v>
      </c>
      <c r="R118" s="333">
        <v>1.1000000000000001</v>
      </c>
      <c r="S118" s="334">
        <f>P118/R118</f>
        <v>2392344.4976076554</v>
      </c>
      <c r="T118" s="306"/>
      <c r="U118" s="306"/>
      <c r="V118" s="306"/>
      <c r="W118" s="310"/>
      <c r="X118" s="306"/>
      <c r="Y118" s="310"/>
      <c r="Z118" s="306"/>
      <c r="AA118" s="306"/>
      <c r="AB118" s="311"/>
      <c r="AC118" s="311"/>
      <c r="AD118" s="311"/>
    </row>
    <row r="119" spans="1:30" ht="15.75" hidden="1" customHeight="1" x14ac:dyDescent="0.15">
      <c r="A119" s="290"/>
      <c r="B119" s="303"/>
      <c r="C119" s="303"/>
      <c r="D119" s="301" t="s">
        <v>265</v>
      </c>
      <c r="E119" s="302" t="s">
        <v>281</v>
      </c>
      <c r="F119" s="303" t="s">
        <v>224</v>
      </c>
      <c r="G119" s="303" t="s">
        <v>22</v>
      </c>
      <c r="H119" s="303" t="s">
        <v>48</v>
      </c>
      <c r="I119" s="331">
        <f>J119/$J$140</f>
        <v>1.6156584446346971E-2</v>
      </c>
      <c r="J119" s="305">
        <v>1000000</v>
      </c>
      <c r="K119" s="306"/>
      <c r="L119" s="307"/>
      <c r="M119" s="307"/>
      <c r="N119" s="308"/>
      <c r="O119" s="309"/>
      <c r="P119" s="334">
        <f>J119/Q119*1000</f>
        <v>2631578.9473684211</v>
      </c>
      <c r="Q119" s="305">
        <v>380</v>
      </c>
      <c r="R119" s="333">
        <v>1.1000000000000001</v>
      </c>
      <c r="S119" s="334">
        <f>P119/R119</f>
        <v>2392344.4976076554</v>
      </c>
      <c r="T119" s="306"/>
      <c r="U119" s="306"/>
      <c r="V119" s="306"/>
      <c r="W119" s="310"/>
      <c r="X119" s="306"/>
      <c r="Y119" s="310"/>
      <c r="Z119" s="306"/>
      <c r="AA119" s="306"/>
      <c r="AB119" s="311"/>
      <c r="AC119" s="311"/>
      <c r="AD119" s="311"/>
    </row>
    <row r="120" spans="1:30" ht="15.75" hidden="1" customHeight="1" x14ac:dyDescent="0.15">
      <c r="A120" s="290"/>
      <c r="B120" s="303"/>
      <c r="C120" s="303"/>
      <c r="D120" s="301" t="s">
        <v>266</v>
      </c>
      <c r="E120" s="302" t="s">
        <v>281</v>
      </c>
      <c r="F120" s="303" t="s">
        <v>224</v>
      </c>
      <c r="G120" s="303" t="s">
        <v>22</v>
      </c>
      <c r="H120" s="303" t="s">
        <v>65</v>
      </c>
      <c r="I120" s="331">
        <f>J120/$J$140</f>
        <v>1.6156584446346971E-2</v>
      </c>
      <c r="J120" s="305">
        <v>1000000</v>
      </c>
      <c r="K120" s="306"/>
      <c r="L120" s="307"/>
      <c r="M120" s="307"/>
      <c r="N120" s="308"/>
      <c r="O120" s="309"/>
      <c r="P120" s="334">
        <f>J120/Q120*1000</f>
        <v>2222222.222222222</v>
      </c>
      <c r="Q120" s="305">
        <v>450</v>
      </c>
      <c r="R120" s="333">
        <v>1.1000000000000001</v>
      </c>
      <c r="S120" s="334">
        <f>P120/R120</f>
        <v>2020202.02020202</v>
      </c>
      <c r="T120" s="306"/>
      <c r="U120" s="306"/>
      <c r="V120" s="306"/>
      <c r="W120" s="310"/>
      <c r="X120" s="306"/>
      <c r="Y120" s="310"/>
      <c r="Z120" s="306"/>
      <c r="AA120" s="306"/>
      <c r="AB120" s="311"/>
      <c r="AC120" s="311"/>
      <c r="AD120" s="311"/>
    </row>
    <row r="121" spans="1:30" ht="15.75" hidden="1" customHeight="1" x14ac:dyDescent="0.15">
      <c r="A121" s="290"/>
      <c r="B121" s="303"/>
      <c r="C121" s="303"/>
      <c r="D121" s="301" t="s">
        <v>267</v>
      </c>
      <c r="E121" s="302" t="s">
        <v>281</v>
      </c>
      <c r="F121" s="303" t="s">
        <v>224</v>
      </c>
      <c r="G121" s="303" t="s">
        <v>22</v>
      </c>
      <c r="H121" s="303" t="s">
        <v>58</v>
      </c>
      <c r="I121" s="331">
        <f>J121/$J$140</f>
        <v>1.6156584446346971E-2</v>
      </c>
      <c r="J121" s="305">
        <v>1000000</v>
      </c>
      <c r="K121" s="306"/>
      <c r="L121" s="307"/>
      <c r="M121" s="307"/>
      <c r="N121" s="308"/>
      <c r="O121" s="309"/>
      <c r="P121" s="334">
        <f>J121/Q121*1000</f>
        <v>2222222.222222222</v>
      </c>
      <c r="Q121" s="305">
        <v>450</v>
      </c>
      <c r="R121" s="333">
        <v>1.1000000000000001</v>
      </c>
      <c r="S121" s="334">
        <f>P121/R121</f>
        <v>2020202.02020202</v>
      </c>
      <c r="T121" s="306"/>
      <c r="U121" s="306"/>
      <c r="V121" s="306"/>
      <c r="W121" s="310"/>
      <c r="X121" s="306"/>
      <c r="Y121" s="310"/>
      <c r="Z121" s="306"/>
      <c r="AA121" s="306"/>
      <c r="AB121" s="311"/>
      <c r="AC121" s="311"/>
      <c r="AD121" s="311"/>
    </row>
    <row r="122" spans="1:30" ht="15.75" hidden="1" customHeight="1" x14ac:dyDescent="0.15">
      <c r="A122" s="290"/>
      <c r="B122" s="303"/>
      <c r="C122" s="303"/>
      <c r="D122" s="393" t="s">
        <v>268</v>
      </c>
      <c r="E122" s="394" t="s">
        <v>281</v>
      </c>
      <c r="F122" s="395" t="s">
        <v>237</v>
      </c>
      <c r="G122" s="395" t="s">
        <v>19</v>
      </c>
      <c r="H122" s="395" t="s">
        <v>65</v>
      </c>
      <c r="I122" s="310"/>
      <c r="J122" s="396"/>
      <c r="K122" s="397"/>
      <c r="L122" s="398"/>
      <c r="M122" s="398"/>
      <c r="N122" s="399"/>
      <c r="O122" s="400"/>
      <c r="P122" s="398"/>
      <c r="Q122" s="396"/>
      <c r="R122" s="401"/>
      <c r="S122" s="398"/>
      <c r="T122" s="306"/>
      <c r="U122" s="306"/>
      <c r="V122" s="306"/>
      <c r="W122" s="310"/>
      <c r="X122" s="306"/>
      <c r="Y122" s="310"/>
      <c r="Z122" s="306"/>
      <c r="AA122" s="306"/>
      <c r="AB122" s="311"/>
      <c r="AC122" s="311"/>
      <c r="AD122" s="311"/>
    </row>
    <row r="123" spans="1:30" ht="15.75" hidden="1" customHeight="1" x14ac:dyDescent="0.15">
      <c r="A123" s="290"/>
      <c r="B123" s="303"/>
      <c r="C123" s="303"/>
      <c r="D123" s="393" t="s">
        <v>233</v>
      </c>
      <c r="E123" s="394" t="s">
        <v>281</v>
      </c>
      <c r="F123" s="395" t="s">
        <v>237</v>
      </c>
      <c r="G123" s="395" t="s">
        <v>22</v>
      </c>
      <c r="H123" s="395" t="s">
        <v>65</v>
      </c>
      <c r="I123" s="310"/>
      <c r="J123" s="396"/>
      <c r="K123" s="306"/>
      <c r="L123" s="307"/>
      <c r="M123" s="307"/>
      <c r="N123" s="308"/>
      <c r="O123" s="309"/>
      <c r="P123" s="398"/>
      <c r="Q123" s="396"/>
      <c r="R123" s="401"/>
      <c r="S123" s="398"/>
      <c r="T123" s="306"/>
      <c r="U123" s="306"/>
      <c r="V123" s="306"/>
      <c r="W123" s="310"/>
      <c r="X123" s="306"/>
      <c r="Y123" s="310"/>
      <c r="Z123" s="306"/>
      <c r="AA123" s="306"/>
      <c r="AB123" s="311"/>
      <c r="AC123" s="311"/>
      <c r="AD123" s="311"/>
    </row>
    <row r="124" spans="1:30" ht="15.75" hidden="1" customHeight="1" x14ac:dyDescent="0.15">
      <c r="A124" s="290"/>
      <c r="B124" s="303"/>
      <c r="C124" s="303"/>
      <c r="D124" s="364" t="s">
        <v>269</v>
      </c>
      <c r="E124" s="302" t="s">
        <v>281</v>
      </c>
      <c r="F124" s="303" t="s">
        <v>237</v>
      </c>
      <c r="G124" s="303" t="s">
        <v>19</v>
      </c>
      <c r="H124" s="303" t="s">
        <v>65</v>
      </c>
      <c r="I124" s="331">
        <f>J124/$J$140</f>
        <v>0.16156584446346972</v>
      </c>
      <c r="J124" s="305">
        <v>10000000</v>
      </c>
      <c r="K124" s="346">
        <v>5</v>
      </c>
      <c r="L124" s="334">
        <f>J124/K124</f>
        <v>2000000</v>
      </c>
      <c r="M124" s="334">
        <v>2</v>
      </c>
      <c r="N124" s="347">
        <f>L124/M124</f>
        <v>1000000</v>
      </c>
      <c r="O124" s="348">
        <v>0.2</v>
      </c>
      <c r="P124" s="334">
        <f>L124*O124</f>
        <v>400000</v>
      </c>
      <c r="Q124" s="305">
        <f>J124*1000/P124</f>
        <v>25000</v>
      </c>
      <c r="R124" s="333">
        <v>1.1000000000000001</v>
      </c>
      <c r="S124" s="334">
        <f>P124/R124</f>
        <v>363636.36363636359</v>
      </c>
      <c r="T124" s="306"/>
      <c r="U124" s="306"/>
      <c r="V124" s="306"/>
      <c r="W124" s="310"/>
      <c r="X124" s="306"/>
      <c r="Y124" s="310"/>
      <c r="Z124" s="306"/>
      <c r="AA124" s="306"/>
      <c r="AB124" s="311"/>
      <c r="AC124" s="311"/>
      <c r="AD124" s="311"/>
    </row>
    <row r="125" spans="1:30" ht="15.75" hidden="1" customHeight="1" x14ac:dyDescent="0.15">
      <c r="A125" s="290"/>
      <c r="B125" s="303"/>
      <c r="C125" s="303"/>
      <c r="D125" s="364" t="s">
        <v>270</v>
      </c>
      <c r="E125" s="302" t="s">
        <v>281</v>
      </c>
      <c r="F125" s="303" t="s">
        <v>237</v>
      </c>
      <c r="G125" s="303" t="s">
        <v>22</v>
      </c>
      <c r="H125" s="303" t="s">
        <v>65</v>
      </c>
      <c r="I125" s="331">
        <f>J125/$J$140</f>
        <v>4.039146111586743E-2</v>
      </c>
      <c r="J125" s="305">
        <v>2500000</v>
      </c>
      <c r="K125" s="306"/>
      <c r="L125" s="307"/>
      <c r="M125" s="307"/>
      <c r="N125" s="308"/>
      <c r="O125" s="309"/>
      <c r="P125" s="334">
        <f>J125/Q125*1000</f>
        <v>5555555.555555556</v>
      </c>
      <c r="Q125" s="305">
        <v>450</v>
      </c>
      <c r="R125" s="333">
        <v>1.1000000000000001</v>
      </c>
      <c r="S125" s="334">
        <f>P125/R125</f>
        <v>5050505.0505050505</v>
      </c>
      <c r="T125" s="306"/>
      <c r="U125" s="306"/>
      <c r="V125" s="306"/>
      <c r="W125" s="310"/>
      <c r="X125" s="306"/>
      <c r="Y125" s="310"/>
      <c r="Z125" s="306"/>
      <c r="AA125" s="306"/>
      <c r="AB125" s="311"/>
      <c r="AC125" s="311"/>
      <c r="AD125" s="311"/>
    </row>
    <row r="126" spans="1:30" ht="15.75" hidden="1" customHeight="1" x14ac:dyDescent="0.15">
      <c r="A126" s="290"/>
      <c r="B126" s="303"/>
      <c r="C126" s="303"/>
      <c r="D126" s="393" t="s">
        <v>271</v>
      </c>
      <c r="E126" s="394"/>
      <c r="F126" s="395"/>
      <c r="G126" s="395"/>
      <c r="H126" s="395"/>
      <c r="I126" s="310"/>
      <c r="J126" s="396"/>
      <c r="K126" s="397"/>
      <c r="L126" s="398"/>
      <c r="M126" s="398"/>
      <c r="N126" s="399"/>
      <c r="O126" s="400"/>
      <c r="P126" s="398"/>
      <c r="Q126" s="396"/>
      <c r="R126" s="401"/>
      <c r="S126" s="398"/>
      <c r="T126" s="306"/>
      <c r="U126" s="306"/>
      <c r="V126" s="306"/>
      <c r="W126" s="310"/>
      <c r="X126" s="306"/>
      <c r="Y126" s="310"/>
      <c r="Z126" s="306"/>
      <c r="AA126" s="306"/>
      <c r="AB126" s="311"/>
      <c r="AC126" s="311"/>
      <c r="AD126" s="311"/>
    </row>
    <row r="127" spans="1:30" ht="15.75" hidden="1" customHeight="1" x14ac:dyDescent="0.15">
      <c r="A127" s="290"/>
      <c r="B127" s="303"/>
      <c r="C127" s="303"/>
      <c r="D127" s="393" t="s">
        <v>272</v>
      </c>
      <c r="E127" s="394"/>
      <c r="F127" s="395"/>
      <c r="G127" s="395"/>
      <c r="H127" s="395"/>
      <c r="I127" s="310"/>
      <c r="J127" s="396"/>
      <c r="K127" s="306"/>
      <c r="L127" s="307"/>
      <c r="M127" s="307"/>
      <c r="N127" s="308"/>
      <c r="O127" s="309"/>
      <c r="P127" s="398"/>
      <c r="Q127" s="396"/>
      <c r="R127" s="401"/>
      <c r="S127" s="398"/>
      <c r="T127" s="306"/>
      <c r="U127" s="306"/>
      <c r="V127" s="306"/>
      <c r="W127" s="310"/>
      <c r="X127" s="306"/>
      <c r="Y127" s="310"/>
      <c r="Z127" s="306"/>
      <c r="AA127" s="306"/>
      <c r="AB127" s="311"/>
      <c r="AC127" s="311"/>
      <c r="AD127" s="311"/>
    </row>
    <row r="128" spans="1:30" ht="15.75" hidden="1" customHeight="1" x14ac:dyDescent="0.15">
      <c r="A128" s="290"/>
      <c r="B128" s="303"/>
      <c r="C128" s="303"/>
      <c r="D128" s="393" t="s">
        <v>273</v>
      </c>
      <c r="E128" s="394"/>
      <c r="F128" s="395"/>
      <c r="G128" s="402"/>
      <c r="H128" s="402"/>
      <c r="I128" s="310"/>
      <c r="J128" s="396"/>
      <c r="K128" s="397"/>
      <c r="L128" s="398"/>
      <c r="M128" s="398"/>
      <c r="N128" s="399"/>
      <c r="O128" s="400"/>
      <c r="P128" s="398"/>
      <c r="Q128" s="396"/>
      <c r="R128" s="401"/>
      <c r="S128" s="398"/>
      <c r="T128" s="306"/>
      <c r="U128" s="306"/>
      <c r="V128" s="306"/>
      <c r="W128" s="310"/>
      <c r="X128" s="306"/>
      <c r="Y128" s="310"/>
      <c r="Z128" s="306"/>
      <c r="AA128" s="306"/>
      <c r="AB128" s="311"/>
      <c r="AC128" s="311"/>
      <c r="AD128" s="311"/>
    </row>
    <row r="129" spans="1:30" ht="15.75" hidden="1" customHeight="1" x14ac:dyDescent="0.15">
      <c r="A129" s="290"/>
      <c r="B129" s="303"/>
      <c r="C129" s="303"/>
      <c r="D129" s="393" t="s">
        <v>274</v>
      </c>
      <c r="E129" s="394"/>
      <c r="F129" s="395"/>
      <c r="G129" s="402"/>
      <c r="H129" s="402"/>
      <c r="I129" s="310"/>
      <c r="J129" s="396"/>
      <c r="K129" s="306"/>
      <c r="L129" s="307"/>
      <c r="M129" s="307"/>
      <c r="N129" s="308"/>
      <c r="O129" s="309"/>
      <c r="P129" s="398"/>
      <c r="Q129" s="396"/>
      <c r="R129" s="401"/>
      <c r="S129" s="398"/>
      <c r="T129" s="306"/>
      <c r="U129" s="306"/>
      <c r="V129" s="306"/>
      <c r="W129" s="310"/>
      <c r="X129" s="306"/>
      <c r="Y129" s="310"/>
      <c r="Z129" s="306"/>
      <c r="AA129" s="306"/>
      <c r="AB129" s="311"/>
      <c r="AC129" s="311"/>
      <c r="AD129" s="311"/>
    </row>
    <row r="130" spans="1:30" ht="15.75" hidden="1" customHeight="1" x14ac:dyDescent="0.15">
      <c r="A130" s="290"/>
      <c r="B130" s="303"/>
      <c r="C130" s="303"/>
      <c r="D130" s="301" t="s">
        <v>241</v>
      </c>
      <c r="E130" s="302" t="s">
        <v>281</v>
      </c>
      <c r="F130" s="303" t="s">
        <v>240</v>
      </c>
      <c r="G130" s="345" t="s">
        <v>19</v>
      </c>
      <c r="H130" s="345" t="s">
        <v>48</v>
      </c>
      <c r="I130" s="331">
        <f>J130/$J$140</f>
        <v>3.2313168892693943E-2</v>
      </c>
      <c r="J130" s="305">
        <v>2000000</v>
      </c>
      <c r="K130" s="346">
        <v>4</v>
      </c>
      <c r="L130" s="334">
        <f>J130/K130</f>
        <v>500000</v>
      </c>
      <c r="M130" s="334">
        <v>10</v>
      </c>
      <c r="N130" s="347">
        <f>L130/M130</f>
        <v>50000</v>
      </c>
      <c r="O130" s="348">
        <v>0.2</v>
      </c>
      <c r="P130" s="334">
        <f>L130*O130</f>
        <v>100000</v>
      </c>
      <c r="Q130" s="305">
        <f>J130*1000/P130</f>
        <v>20000</v>
      </c>
      <c r="R130" s="333">
        <v>1.1000000000000001</v>
      </c>
      <c r="S130" s="334">
        <f>P130/R130</f>
        <v>90909.090909090897</v>
      </c>
      <c r="T130" s="306"/>
      <c r="U130" s="306"/>
      <c r="V130" s="306"/>
      <c r="W130" s="310"/>
      <c r="X130" s="306"/>
      <c r="Y130" s="310"/>
      <c r="Z130" s="306"/>
      <c r="AA130" s="306"/>
      <c r="AB130" s="311"/>
      <c r="AC130" s="311"/>
      <c r="AD130" s="311"/>
    </row>
    <row r="131" spans="1:30" ht="15.75" hidden="1" customHeight="1" x14ac:dyDescent="0.15">
      <c r="A131" s="290"/>
      <c r="B131" s="303"/>
      <c r="C131" s="303"/>
      <c r="D131" s="301" t="s">
        <v>235</v>
      </c>
      <c r="E131" s="302" t="s">
        <v>281</v>
      </c>
      <c r="F131" s="303" t="s">
        <v>240</v>
      </c>
      <c r="G131" s="345" t="s">
        <v>22</v>
      </c>
      <c r="H131" s="345" t="s">
        <v>48</v>
      </c>
      <c r="I131" s="331">
        <f>J131/$J$140</f>
        <v>1.6156584446346971E-2</v>
      </c>
      <c r="J131" s="305">
        <v>1000000</v>
      </c>
      <c r="K131" s="306"/>
      <c r="L131" s="307"/>
      <c r="M131" s="307"/>
      <c r="N131" s="308"/>
      <c r="O131" s="309"/>
      <c r="P131" s="334">
        <f>J131/Q131*1000</f>
        <v>2631578.9473684211</v>
      </c>
      <c r="Q131" s="305">
        <v>380</v>
      </c>
      <c r="R131" s="333">
        <v>1.1000000000000001</v>
      </c>
      <c r="S131" s="334">
        <f>P131/R131</f>
        <v>2392344.4976076554</v>
      </c>
      <c r="T131" s="306"/>
      <c r="U131" s="306"/>
      <c r="V131" s="306"/>
      <c r="W131" s="310"/>
      <c r="X131" s="306"/>
      <c r="Y131" s="310"/>
      <c r="Z131" s="306"/>
      <c r="AA131" s="306"/>
      <c r="AB131" s="311"/>
      <c r="AC131" s="311"/>
      <c r="AD131" s="311"/>
    </row>
    <row r="132" spans="1:30" ht="15.75" hidden="1" customHeight="1" x14ac:dyDescent="0.15">
      <c r="A132" s="290"/>
      <c r="B132" s="303"/>
      <c r="C132" s="303"/>
      <c r="D132" s="301" t="s">
        <v>239</v>
      </c>
      <c r="E132" s="302" t="s">
        <v>281</v>
      </c>
      <c r="F132" s="303" t="s">
        <v>240</v>
      </c>
      <c r="G132" s="345" t="s">
        <v>19</v>
      </c>
      <c r="H132" s="345" t="s">
        <v>227</v>
      </c>
      <c r="I132" s="331">
        <f>J132/$J$140</f>
        <v>3.2313168892693943E-2</v>
      </c>
      <c r="J132" s="305">
        <v>2000000</v>
      </c>
      <c r="K132" s="346">
        <v>4</v>
      </c>
      <c r="L132" s="334">
        <f>J132/K132</f>
        <v>500000</v>
      </c>
      <c r="M132" s="334">
        <v>30</v>
      </c>
      <c r="N132" s="347">
        <f>L132/M132</f>
        <v>16666.666666666668</v>
      </c>
      <c r="O132" s="348">
        <v>0.2</v>
      </c>
      <c r="P132" s="334">
        <f>L132*O132</f>
        <v>100000</v>
      </c>
      <c r="Q132" s="305">
        <f>J132*1000/P132</f>
        <v>20000</v>
      </c>
      <c r="R132" s="333">
        <v>1.1000000000000001</v>
      </c>
      <c r="S132" s="334">
        <f>P132/R132</f>
        <v>90909.090909090897</v>
      </c>
      <c r="T132" s="306"/>
      <c r="U132" s="306"/>
      <c r="V132" s="306"/>
      <c r="W132" s="310"/>
      <c r="X132" s="306"/>
      <c r="Y132" s="310"/>
      <c r="Z132" s="306"/>
      <c r="AA132" s="306"/>
      <c r="AB132" s="311"/>
      <c r="AC132" s="311"/>
      <c r="AD132" s="311"/>
    </row>
    <row r="133" spans="1:30" ht="15.75" hidden="1" customHeight="1" x14ac:dyDescent="0.15">
      <c r="A133" s="290"/>
      <c r="B133" s="303"/>
      <c r="C133" s="303"/>
      <c r="D133" s="301" t="s">
        <v>234</v>
      </c>
      <c r="E133" s="302" t="s">
        <v>281</v>
      </c>
      <c r="F133" s="303" t="s">
        <v>240</v>
      </c>
      <c r="G133" s="345" t="s">
        <v>22</v>
      </c>
      <c r="H133" s="345" t="s">
        <v>227</v>
      </c>
      <c r="I133" s="331">
        <f>J133/$J$140</f>
        <v>1.6156584446346971E-2</v>
      </c>
      <c r="J133" s="305">
        <v>1000000</v>
      </c>
      <c r="K133" s="306"/>
      <c r="L133" s="307"/>
      <c r="M133" s="307"/>
      <c r="N133" s="308"/>
      <c r="O133" s="309"/>
      <c r="P133" s="334">
        <f>J133/Q133*1000</f>
        <v>2631578.9473684211</v>
      </c>
      <c r="Q133" s="305">
        <v>380</v>
      </c>
      <c r="R133" s="333">
        <v>1.1000000000000001</v>
      </c>
      <c r="S133" s="334">
        <f>P133/R133</f>
        <v>2392344.4976076554</v>
      </c>
      <c r="T133" s="306"/>
      <c r="U133" s="306"/>
      <c r="V133" s="306"/>
      <c r="W133" s="310"/>
      <c r="X133" s="306"/>
      <c r="Y133" s="310"/>
      <c r="Z133" s="306"/>
      <c r="AA133" s="306"/>
      <c r="AB133" s="311"/>
      <c r="AC133" s="311"/>
      <c r="AD133" s="311"/>
    </row>
    <row r="134" spans="1:30" ht="15.75" hidden="1" customHeight="1" x14ac:dyDescent="0.15">
      <c r="A134" s="290"/>
      <c r="B134" s="303"/>
      <c r="C134" s="303"/>
      <c r="D134" s="393" t="s">
        <v>275</v>
      </c>
      <c r="E134" s="394"/>
      <c r="F134" s="395"/>
      <c r="G134" s="402"/>
      <c r="H134" s="402"/>
      <c r="I134" s="310"/>
      <c r="J134" s="396"/>
      <c r="K134" s="397"/>
      <c r="L134" s="398"/>
      <c r="M134" s="398"/>
      <c r="N134" s="399"/>
      <c r="O134" s="400"/>
      <c r="P134" s="398"/>
      <c r="Q134" s="396"/>
      <c r="R134" s="401"/>
      <c r="S134" s="398"/>
      <c r="T134" s="306"/>
      <c r="U134" s="306"/>
      <c r="V134" s="306"/>
      <c r="W134" s="310"/>
      <c r="X134" s="306"/>
      <c r="Y134" s="310"/>
      <c r="Z134" s="306"/>
      <c r="AA134" s="306"/>
      <c r="AB134" s="311"/>
      <c r="AC134" s="311"/>
      <c r="AD134" s="311"/>
    </row>
    <row r="135" spans="1:30" ht="15.75" hidden="1" customHeight="1" x14ac:dyDescent="0.15">
      <c r="A135" s="290"/>
      <c r="B135" s="303"/>
      <c r="C135" s="303"/>
      <c r="D135" s="393" t="s">
        <v>276</v>
      </c>
      <c r="E135" s="394"/>
      <c r="F135" s="395"/>
      <c r="G135" s="402"/>
      <c r="H135" s="402"/>
      <c r="I135" s="310"/>
      <c r="J135" s="396"/>
      <c r="K135" s="306"/>
      <c r="L135" s="307"/>
      <c r="M135" s="307"/>
      <c r="N135" s="308"/>
      <c r="O135" s="309"/>
      <c r="P135" s="398"/>
      <c r="Q135" s="396"/>
      <c r="R135" s="401"/>
      <c r="S135" s="398"/>
      <c r="T135" s="306"/>
      <c r="U135" s="306"/>
      <c r="V135" s="306"/>
      <c r="W135" s="310"/>
      <c r="X135" s="306"/>
      <c r="Y135" s="310"/>
      <c r="Z135" s="306"/>
      <c r="AA135" s="306"/>
      <c r="AB135" s="311"/>
      <c r="AC135" s="311"/>
      <c r="AD135" s="311"/>
    </row>
    <row r="136" spans="1:30" ht="15.75" hidden="1" customHeight="1" x14ac:dyDescent="0.15">
      <c r="A136" s="290"/>
      <c r="B136" s="303"/>
      <c r="C136" s="303"/>
      <c r="D136" s="301" t="s">
        <v>242</v>
      </c>
      <c r="E136" s="302" t="s">
        <v>281</v>
      </c>
      <c r="F136" s="303" t="s">
        <v>243</v>
      </c>
      <c r="G136" s="345" t="s">
        <v>25</v>
      </c>
      <c r="H136" s="345" t="s">
        <v>227</v>
      </c>
      <c r="I136" s="331">
        <f>J136/$J$140</f>
        <v>3.2313168892693943E-2</v>
      </c>
      <c r="J136" s="305">
        <v>2000000</v>
      </c>
      <c r="K136" s="346">
        <v>4</v>
      </c>
      <c r="L136" s="334">
        <f>J136/K136</f>
        <v>500000</v>
      </c>
      <c r="M136" s="334">
        <f>L136/N136</f>
        <v>1.25</v>
      </c>
      <c r="N136" s="347">
        <v>400000</v>
      </c>
      <c r="O136" s="348">
        <v>0.6</v>
      </c>
      <c r="P136" s="334">
        <f>N136*O136</f>
        <v>240000</v>
      </c>
      <c r="Q136" s="305">
        <f>J136*1000/P136</f>
        <v>8333.3333333333339</v>
      </c>
      <c r="R136" s="333">
        <v>1.1000000000000001</v>
      </c>
      <c r="S136" s="334">
        <f>P136/R136</f>
        <v>218181.81818181818</v>
      </c>
      <c r="T136" s="306"/>
      <c r="U136" s="306"/>
      <c r="V136" s="306"/>
      <c r="W136" s="310"/>
      <c r="X136" s="306"/>
      <c r="Y136" s="310"/>
      <c r="Z136" s="306"/>
      <c r="AA136" s="306"/>
      <c r="AB136" s="311"/>
      <c r="AC136" s="311"/>
      <c r="AD136" s="311"/>
    </row>
    <row r="137" spans="1:30" ht="15.75" hidden="1" customHeight="1" x14ac:dyDescent="0.15">
      <c r="A137" s="290"/>
      <c r="B137" s="303"/>
      <c r="C137" s="303"/>
      <c r="D137" s="301" t="s">
        <v>244</v>
      </c>
      <c r="E137" s="302" t="s">
        <v>281</v>
      </c>
      <c r="F137" s="303" t="s">
        <v>243</v>
      </c>
      <c r="G137" s="345" t="s">
        <v>25</v>
      </c>
      <c r="H137" s="345" t="s">
        <v>245</v>
      </c>
      <c r="I137" s="331">
        <f>J137/$J$140</f>
        <v>1.6156584446346971E-2</v>
      </c>
      <c r="J137" s="305">
        <v>1000000</v>
      </c>
      <c r="K137" s="306"/>
      <c r="L137" s="306"/>
      <c r="M137" s="306"/>
      <c r="N137" s="306"/>
      <c r="O137" s="306"/>
      <c r="P137" s="306"/>
      <c r="Q137" s="306"/>
      <c r="R137" s="306"/>
      <c r="S137" s="306"/>
      <c r="T137" s="306"/>
      <c r="U137" s="306"/>
      <c r="V137" s="306"/>
      <c r="W137" s="310"/>
      <c r="X137" s="306"/>
      <c r="Y137" s="310"/>
      <c r="Z137" s="306"/>
      <c r="AA137" s="332">
        <v>1000</v>
      </c>
      <c r="AB137" s="340"/>
      <c r="AC137" s="340">
        <f>AA137*50000</f>
        <v>50000000</v>
      </c>
      <c r="AD137" s="340"/>
    </row>
    <row r="138" spans="1:30" ht="15.75" hidden="1" customHeight="1" x14ac:dyDescent="0.15">
      <c r="A138" s="290"/>
      <c r="B138" s="403"/>
      <c r="C138" s="403"/>
      <c r="D138" s="404" t="s">
        <v>277</v>
      </c>
      <c r="E138" s="302" t="s">
        <v>281</v>
      </c>
      <c r="F138" s="303" t="s">
        <v>210</v>
      </c>
      <c r="G138" s="303" t="s">
        <v>25</v>
      </c>
      <c r="H138" s="303" t="s">
        <v>227</v>
      </c>
      <c r="I138" s="331">
        <f>J138/$J$140</f>
        <v>8.0782922231734861E-2</v>
      </c>
      <c r="J138" s="361">
        <v>5000000</v>
      </c>
      <c r="K138" s="359">
        <v>2</v>
      </c>
      <c r="L138" s="332">
        <f>M138*N138</f>
        <v>1000000</v>
      </c>
      <c r="M138" s="332">
        <v>100</v>
      </c>
      <c r="N138" s="332">
        <v>10000</v>
      </c>
      <c r="O138" s="360">
        <v>0.2</v>
      </c>
      <c r="P138" s="332">
        <f>N138*O138</f>
        <v>2000</v>
      </c>
      <c r="Q138" s="361">
        <f>J138*1000/P138</f>
        <v>2500000</v>
      </c>
      <c r="R138" s="362">
        <v>1.1000000000000001</v>
      </c>
      <c r="S138" s="332">
        <f>P138/R138</f>
        <v>1818.181818181818</v>
      </c>
      <c r="T138" s="306"/>
      <c r="U138" s="306"/>
      <c r="V138" s="306"/>
      <c r="W138" s="310"/>
      <c r="X138" s="306"/>
      <c r="Y138" s="310"/>
      <c r="Z138" s="306"/>
      <c r="AA138" s="332">
        <f>J138*5/70000</f>
        <v>357.14285714285717</v>
      </c>
      <c r="AB138" s="340"/>
      <c r="AC138" s="340">
        <f>AA138*50000</f>
        <v>17857142.857142858</v>
      </c>
      <c r="AD138" s="340"/>
    </row>
    <row r="139" spans="1:30" ht="15.75" hidden="1" customHeight="1" x14ac:dyDescent="0.15">
      <c r="A139" s="290"/>
      <c r="B139" s="403"/>
      <c r="C139" s="403"/>
      <c r="D139" s="405" t="s">
        <v>278</v>
      </c>
      <c r="E139" s="302" t="s">
        <v>281</v>
      </c>
      <c r="F139" s="406" t="s">
        <v>210</v>
      </c>
      <c r="G139" s="406" t="s">
        <v>25</v>
      </c>
      <c r="H139" s="406" t="s">
        <v>279</v>
      </c>
      <c r="I139" s="331">
        <f>J139/$J$140</f>
        <v>0.50722417438641731</v>
      </c>
      <c r="J139" s="407">
        <v>31394270</v>
      </c>
      <c r="K139" s="408"/>
      <c r="L139" s="408"/>
      <c r="M139" s="408"/>
      <c r="N139" s="408"/>
      <c r="O139" s="408"/>
      <c r="P139" s="408"/>
      <c r="Q139" s="408"/>
      <c r="R139" s="408"/>
      <c r="S139" s="408"/>
      <c r="T139" s="306"/>
      <c r="U139" s="306"/>
      <c r="V139" s="306"/>
      <c r="W139" s="310"/>
      <c r="X139" s="306"/>
      <c r="Y139" s="310"/>
      <c r="Z139" s="306"/>
      <c r="AA139" s="409">
        <v>2098</v>
      </c>
      <c r="AB139" s="410"/>
      <c r="AC139" s="410">
        <f>AA139*50000</f>
        <v>104900000</v>
      </c>
      <c r="AD139" s="340"/>
    </row>
    <row r="140" spans="1:30" ht="15.75" hidden="1" customHeight="1" x14ac:dyDescent="0.15">
      <c r="A140" s="290"/>
      <c r="B140" s="313"/>
      <c r="C140" s="313"/>
      <c r="D140" s="314" t="s">
        <v>27</v>
      </c>
      <c r="E140" s="315"/>
      <c r="F140" s="315"/>
      <c r="G140" s="315"/>
      <c r="H140" s="315"/>
      <c r="I140" s="316">
        <f>J140/J140</f>
        <v>1</v>
      </c>
      <c r="J140" s="317">
        <f>SUM(J118:J139)</f>
        <v>61894270</v>
      </c>
      <c r="K140" s="315"/>
      <c r="L140" s="318"/>
      <c r="M140" s="318">
        <f>SUM(M118:M139)</f>
        <v>143.25</v>
      </c>
      <c r="N140" s="318"/>
      <c r="O140" s="318"/>
      <c r="P140" s="318">
        <f>SUM(P118:P139)</f>
        <v>21368315.789473683</v>
      </c>
      <c r="Q140" s="318">
        <f>J140/P140*1000</f>
        <v>2896.5441455376626</v>
      </c>
      <c r="R140" s="319">
        <f>P140/T140</f>
        <v>5.4999999999999991</v>
      </c>
      <c r="S140" s="318">
        <f>SUM(S118:S139)</f>
        <v>19425741.62679426</v>
      </c>
      <c r="T140" s="318">
        <f>S140/5</f>
        <v>3885148.3253588518</v>
      </c>
      <c r="U140" s="318"/>
      <c r="V140" s="318"/>
      <c r="W140" s="320"/>
      <c r="X140" s="318"/>
      <c r="Y140" s="320"/>
      <c r="Z140" s="318"/>
      <c r="AA140" s="318">
        <f>SUM(AA121:AA139)</f>
        <v>3455.1428571428569</v>
      </c>
      <c r="AB140" s="317"/>
      <c r="AC140" s="317">
        <f>SUM(AC121:AC139)</f>
        <v>172757142.85714287</v>
      </c>
      <c r="AD140" s="317"/>
    </row>
    <row r="141" spans="1:30" ht="15.75" hidden="1" customHeight="1" x14ac:dyDescent="0.15">
      <c r="A141" s="290"/>
      <c r="B141" s="290"/>
      <c r="C141" s="290"/>
      <c r="D141" s="290"/>
      <c r="E141" s="290"/>
      <c r="F141" s="290"/>
      <c r="G141" s="290"/>
      <c r="H141" s="290"/>
      <c r="I141" s="290"/>
      <c r="J141" s="290"/>
      <c r="K141" s="290"/>
      <c r="L141" s="290"/>
      <c r="M141" s="290"/>
      <c r="N141" s="290"/>
      <c r="O141" s="290"/>
      <c r="P141" s="290"/>
      <c r="Q141" s="290"/>
      <c r="R141" s="290"/>
      <c r="S141" s="290"/>
      <c r="T141" s="290"/>
      <c r="U141" s="290"/>
      <c r="V141" s="290"/>
      <c r="W141" s="291"/>
      <c r="X141" s="290"/>
      <c r="Y141" s="291"/>
      <c r="Z141" s="290"/>
      <c r="AA141" s="290"/>
      <c r="AB141" s="292"/>
      <c r="AC141" s="292"/>
      <c r="AD141" s="292"/>
    </row>
    <row r="142" spans="1:30" ht="15.75" hidden="1" customHeight="1" x14ac:dyDescent="0.15">
      <c r="A142" s="290"/>
      <c r="B142" s="390"/>
      <c r="C142" s="390"/>
      <c r="D142" s="295" t="s">
        <v>70</v>
      </c>
      <c r="E142" s="392"/>
      <c r="F142" s="296"/>
      <c r="G142" s="296"/>
      <c r="H142" s="296"/>
      <c r="I142" s="296"/>
      <c r="J142" s="296"/>
      <c r="K142" s="296"/>
      <c r="L142" s="296"/>
      <c r="M142" s="296"/>
      <c r="N142" s="296"/>
      <c r="O142" s="296"/>
      <c r="P142" s="296"/>
      <c r="Q142" s="296"/>
      <c r="R142" s="296"/>
      <c r="S142" s="296"/>
      <c r="T142" s="296"/>
      <c r="U142" s="296"/>
      <c r="V142" s="296"/>
      <c r="W142" s="297"/>
      <c r="X142" s="296"/>
      <c r="Y142" s="297"/>
      <c r="Z142" s="296"/>
      <c r="AA142" s="296"/>
      <c r="AB142" s="298"/>
      <c r="AC142" s="298"/>
      <c r="AD142" s="299"/>
    </row>
    <row r="143" spans="1:30" ht="15.75" hidden="1" customHeight="1" x14ac:dyDescent="0.15">
      <c r="A143" s="290"/>
      <c r="B143" s="303"/>
      <c r="C143" s="303"/>
      <c r="D143" s="301" t="s">
        <v>264</v>
      </c>
      <c r="E143" s="302" t="s">
        <v>282</v>
      </c>
      <c r="F143" s="303" t="s">
        <v>224</v>
      </c>
      <c r="G143" s="303" t="s">
        <v>22</v>
      </c>
      <c r="H143" s="303" t="s">
        <v>227</v>
      </c>
      <c r="I143" s="331">
        <f t="shared" ref="I143:I148" si="20">J143/$J$165</f>
        <v>4.7726999273260982E-2</v>
      </c>
      <c r="J143" s="305">
        <v>2000000</v>
      </c>
      <c r="K143" s="306"/>
      <c r="L143" s="307"/>
      <c r="M143" s="307"/>
      <c r="N143" s="308"/>
      <c r="O143" s="309"/>
      <c r="P143" s="334">
        <f>J143/Q143*1000</f>
        <v>5263157.8947368423</v>
      </c>
      <c r="Q143" s="305">
        <v>380</v>
      </c>
      <c r="R143" s="333">
        <v>1.1000000000000001</v>
      </c>
      <c r="S143" s="334">
        <f t="shared" ref="S143:S148" si="21">P143/R143</f>
        <v>4784688.9952153107</v>
      </c>
      <c r="T143" s="306"/>
      <c r="U143" s="306"/>
      <c r="V143" s="306"/>
      <c r="W143" s="310"/>
      <c r="X143" s="306"/>
      <c r="Y143" s="310"/>
      <c r="Z143" s="306"/>
      <c r="AA143" s="306"/>
      <c r="AB143" s="311"/>
      <c r="AC143" s="311"/>
      <c r="AD143" s="311"/>
    </row>
    <row r="144" spans="1:30" ht="15.75" hidden="1" customHeight="1" x14ac:dyDescent="0.15">
      <c r="A144" s="290"/>
      <c r="B144" s="303"/>
      <c r="C144" s="303"/>
      <c r="D144" s="301" t="s">
        <v>265</v>
      </c>
      <c r="E144" s="302" t="s">
        <v>282</v>
      </c>
      <c r="F144" s="303" t="s">
        <v>224</v>
      </c>
      <c r="G144" s="303" t="s">
        <v>22</v>
      </c>
      <c r="H144" s="303" t="s">
        <v>48</v>
      </c>
      <c r="I144" s="331">
        <f t="shared" si="20"/>
        <v>4.7726999273260982E-2</v>
      </c>
      <c r="J144" s="305">
        <v>2000000</v>
      </c>
      <c r="K144" s="306"/>
      <c r="L144" s="307"/>
      <c r="M144" s="307"/>
      <c r="N144" s="308"/>
      <c r="O144" s="309"/>
      <c r="P144" s="334">
        <f>J144/Q144*1000</f>
        <v>5263157.8947368423</v>
      </c>
      <c r="Q144" s="305">
        <v>380</v>
      </c>
      <c r="R144" s="333">
        <v>1.1000000000000001</v>
      </c>
      <c r="S144" s="334">
        <f t="shared" si="21"/>
        <v>4784688.9952153107</v>
      </c>
      <c r="T144" s="306"/>
      <c r="U144" s="306"/>
      <c r="V144" s="306"/>
      <c r="W144" s="310"/>
      <c r="X144" s="306"/>
      <c r="Y144" s="310"/>
      <c r="Z144" s="306"/>
      <c r="AA144" s="306"/>
      <c r="AB144" s="311"/>
      <c r="AC144" s="311"/>
      <c r="AD144" s="311"/>
    </row>
    <row r="145" spans="1:30" ht="15.75" hidden="1" customHeight="1" x14ac:dyDescent="0.15">
      <c r="A145" s="290"/>
      <c r="B145" s="303"/>
      <c r="C145" s="303"/>
      <c r="D145" s="301" t="s">
        <v>266</v>
      </c>
      <c r="E145" s="302" t="s">
        <v>282</v>
      </c>
      <c r="F145" s="303" t="s">
        <v>224</v>
      </c>
      <c r="G145" s="303" t="s">
        <v>22</v>
      </c>
      <c r="H145" s="303" t="s">
        <v>65</v>
      </c>
      <c r="I145" s="331">
        <f t="shared" si="20"/>
        <v>4.7726999273260982E-2</v>
      </c>
      <c r="J145" s="305">
        <v>2000000</v>
      </c>
      <c r="K145" s="306"/>
      <c r="L145" s="307"/>
      <c r="M145" s="307"/>
      <c r="N145" s="308"/>
      <c r="O145" s="309"/>
      <c r="P145" s="334">
        <f>J145/Q145*1000</f>
        <v>4444444.444444444</v>
      </c>
      <c r="Q145" s="305">
        <v>450</v>
      </c>
      <c r="R145" s="333">
        <v>1.1000000000000001</v>
      </c>
      <c r="S145" s="334">
        <f t="shared" si="21"/>
        <v>4040404.0404040399</v>
      </c>
      <c r="T145" s="306"/>
      <c r="U145" s="306"/>
      <c r="V145" s="306"/>
      <c r="W145" s="310"/>
      <c r="X145" s="306"/>
      <c r="Y145" s="310"/>
      <c r="Z145" s="306"/>
      <c r="AA145" s="306"/>
      <c r="AB145" s="311"/>
      <c r="AC145" s="311"/>
      <c r="AD145" s="311"/>
    </row>
    <row r="146" spans="1:30" ht="15.75" hidden="1" customHeight="1" x14ac:dyDescent="0.15">
      <c r="A146" s="290"/>
      <c r="B146" s="303"/>
      <c r="C146" s="303"/>
      <c r="D146" s="301" t="s">
        <v>267</v>
      </c>
      <c r="E146" s="302" t="s">
        <v>282</v>
      </c>
      <c r="F146" s="303" t="s">
        <v>224</v>
      </c>
      <c r="G146" s="303" t="s">
        <v>22</v>
      </c>
      <c r="H146" s="303" t="s">
        <v>58</v>
      </c>
      <c r="I146" s="331">
        <f t="shared" si="20"/>
        <v>4.7726999273260982E-2</v>
      </c>
      <c r="J146" s="305">
        <v>2000000</v>
      </c>
      <c r="K146" s="306"/>
      <c r="L146" s="307"/>
      <c r="M146" s="307"/>
      <c r="N146" s="308"/>
      <c r="O146" s="309"/>
      <c r="P146" s="334">
        <f>J146/Q146*1000</f>
        <v>4444444.444444444</v>
      </c>
      <c r="Q146" s="305">
        <v>450</v>
      </c>
      <c r="R146" s="333">
        <v>1.1000000000000001</v>
      </c>
      <c r="S146" s="334">
        <f t="shared" si="21"/>
        <v>4040404.0404040399</v>
      </c>
      <c r="T146" s="306"/>
      <c r="U146" s="306"/>
      <c r="V146" s="306"/>
      <c r="W146" s="310"/>
      <c r="X146" s="306"/>
      <c r="Y146" s="310"/>
      <c r="Z146" s="306"/>
      <c r="AA146" s="306"/>
      <c r="AB146" s="311"/>
      <c r="AC146" s="311"/>
      <c r="AD146" s="311"/>
    </row>
    <row r="147" spans="1:30" ht="15.75" hidden="1" customHeight="1" x14ac:dyDescent="0.15">
      <c r="A147" s="290"/>
      <c r="B147" s="303"/>
      <c r="C147" s="303"/>
      <c r="D147" s="301" t="s">
        <v>268</v>
      </c>
      <c r="E147" s="302" t="s">
        <v>282</v>
      </c>
      <c r="F147" s="303" t="s">
        <v>237</v>
      </c>
      <c r="G147" s="303" t="s">
        <v>19</v>
      </c>
      <c r="H147" s="303" t="s">
        <v>65</v>
      </c>
      <c r="I147" s="331">
        <f t="shared" si="20"/>
        <v>9.5453998546521965E-2</v>
      </c>
      <c r="J147" s="305">
        <v>4000000</v>
      </c>
      <c r="K147" s="346">
        <v>5</v>
      </c>
      <c r="L147" s="334">
        <f>J147/K147</f>
        <v>800000</v>
      </c>
      <c r="M147" s="334">
        <v>2</v>
      </c>
      <c r="N147" s="347">
        <f>L147/M147</f>
        <v>400000</v>
      </c>
      <c r="O147" s="348">
        <v>0.2</v>
      </c>
      <c r="P147" s="334">
        <f>L147*O147</f>
        <v>160000</v>
      </c>
      <c r="Q147" s="305">
        <f>J147*1000/P147</f>
        <v>25000</v>
      </c>
      <c r="R147" s="333">
        <v>1.1000000000000001</v>
      </c>
      <c r="S147" s="334">
        <f t="shared" si="21"/>
        <v>145454.54545454544</v>
      </c>
      <c r="T147" s="306"/>
      <c r="U147" s="306"/>
      <c r="V147" s="306"/>
      <c r="W147" s="310"/>
      <c r="X147" s="306"/>
      <c r="Y147" s="310"/>
      <c r="Z147" s="306"/>
      <c r="AA147" s="306"/>
      <c r="AB147" s="311"/>
      <c r="AC147" s="311"/>
      <c r="AD147" s="311"/>
    </row>
    <row r="148" spans="1:30" ht="15.75" hidden="1" customHeight="1" x14ac:dyDescent="0.15">
      <c r="A148" s="290"/>
      <c r="B148" s="303"/>
      <c r="C148" s="303"/>
      <c r="D148" s="301" t="s">
        <v>233</v>
      </c>
      <c r="E148" s="302" t="s">
        <v>282</v>
      </c>
      <c r="F148" s="303" t="s">
        <v>237</v>
      </c>
      <c r="G148" s="303" t="s">
        <v>22</v>
      </c>
      <c r="H148" s="303" t="s">
        <v>65</v>
      </c>
      <c r="I148" s="331">
        <f t="shared" si="20"/>
        <v>3.5795249454945735E-2</v>
      </c>
      <c r="J148" s="305">
        <v>1500000</v>
      </c>
      <c r="K148" s="306"/>
      <c r="L148" s="307"/>
      <c r="M148" s="307"/>
      <c r="N148" s="308"/>
      <c r="O148" s="309"/>
      <c r="P148" s="334">
        <f>J148/Q148*1000</f>
        <v>3333333.3333333335</v>
      </c>
      <c r="Q148" s="305">
        <v>450</v>
      </c>
      <c r="R148" s="333">
        <v>1.1000000000000001</v>
      </c>
      <c r="S148" s="334">
        <f t="shared" si="21"/>
        <v>3030303.0303030303</v>
      </c>
      <c r="T148" s="306"/>
      <c r="U148" s="306"/>
      <c r="V148" s="306"/>
      <c r="W148" s="310"/>
      <c r="X148" s="306"/>
      <c r="Y148" s="310"/>
      <c r="Z148" s="306"/>
      <c r="AA148" s="306"/>
      <c r="AB148" s="311"/>
      <c r="AC148" s="311"/>
      <c r="AD148" s="311"/>
    </row>
    <row r="149" spans="1:30" ht="15.75" hidden="1" customHeight="1" x14ac:dyDescent="0.15">
      <c r="A149" s="290"/>
      <c r="B149" s="303"/>
      <c r="C149" s="303"/>
      <c r="D149" s="393" t="s">
        <v>269</v>
      </c>
      <c r="E149" s="394"/>
      <c r="F149" s="395"/>
      <c r="G149" s="395"/>
      <c r="H149" s="395"/>
      <c r="I149" s="310"/>
      <c r="J149" s="396"/>
      <c r="K149" s="397"/>
      <c r="L149" s="398"/>
      <c r="M149" s="398"/>
      <c r="N149" s="399"/>
      <c r="O149" s="400"/>
      <c r="P149" s="398"/>
      <c r="Q149" s="396"/>
      <c r="R149" s="401"/>
      <c r="S149" s="398"/>
      <c r="T149" s="306"/>
      <c r="U149" s="306"/>
      <c r="V149" s="306"/>
      <c r="W149" s="310"/>
      <c r="X149" s="306"/>
      <c r="Y149" s="310"/>
      <c r="Z149" s="306"/>
      <c r="AA149" s="306"/>
      <c r="AB149" s="311"/>
      <c r="AC149" s="311"/>
      <c r="AD149" s="311"/>
    </row>
    <row r="150" spans="1:30" ht="15.75" hidden="1" customHeight="1" x14ac:dyDescent="0.15">
      <c r="A150" s="290"/>
      <c r="B150" s="303"/>
      <c r="C150" s="303"/>
      <c r="D150" s="393" t="s">
        <v>270</v>
      </c>
      <c r="E150" s="394"/>
      <c r="F150" s="395"/>
      <c r="G150" s="395"/>
      <c r="H150" s="395"/>
      <c r="I150" s="310"/>
      <c r="J150" s="396"/>
      <c r="K150" s="306"/>
      <c r="L150" s="307"/>
      <c r="M150" s="307"/>
      <c r="N150" s="308"/>
      <c r="O150" s="309"/>
      <c r="P150" s="398"/>
      <c r="Q150" s="396"/>
      <c r="R150" s="401"/>
      <c r="S150" s="398"/>
      <c r="T150" s="306"/>
      <c r="U150" s="306"/>
      <c r="V150" s="306"/>
      <c r="W150" s="310"/>
      <c r="X150" s="306"/>
      <c r="Y150" s="310"/>
      <c r="Z150" s="306"/>
      <c r="AA150" s="306"/>
      <c r="AB150" s="311"/>
      <c r="AC150" s="311"/>
      <c r="AD150" s="311"/>
    </row>
    <row r="151" spans="1:30" ht="15.75" hidden="1" customHeight="1" x14ac:dyDescent="0.15">
      <c r="A151" s="290"/>
      <c r="B151" s="303"/>
      <c r="C151" s="303"/>
      <c r="D151" s="393" t="s">
        <v>271</v>
      </c>
      <c r="E151" s="394"/>
      <c r="F151" s="395"/>
      <c r="G151" s="395"/>
      <c r="H151" s="395"/>
      <c r="I151" s="310"/>
      <c r="J151" s="396"/>
      <c r="K151" s="397"/>
      <c r="L151" s="398"/>
      <c r="M151" s="398"/>
      <c r="N151" s="399"/>
      <c r="O151" s="400"/>
      <c r="P151" s="398"/>
      <c r="Q151" s="396"/>
      <c r="R151" s="401"/>
      <c r="S151" s="398"/>
      <c r="T151" s="306"/>
      <c r="U151" s="306"/>
      <c r="V151" s="306"/>
      <c r="W151" s="310"/>
      <c r="X151" s="306"/>
      <c r="Y151" s="310"/>
      <c r="Z151" s="306"/>
      <c r="AA151" s="306"/>
      <c r="AB151" s="311"/>
      <c r="AC151" s="311"/>
      <c r="AD151" s="311"/>
    </row>
    <row r="152" spans="1:30" ht="15.75" hidden="1" customHeight="1" x14ac:dyDescent="0.15">
      <c r="A152" s="290"/>
      <c r="B152" s="303"/>
      <c r="C152" s="303"/>
      <c r="D152" s="393" t="s">
        <v>272</v>
      </c>
      <c r="E152" s="394"/>
      <c r="F152" s="395"/>
      <c r="G152" s="395"/>
      <c r="H152" s="395"/>
      <c r="I152" s="310"/>
      <c r="J152" s="396"/>
      <c r="K152" s="306"/>
      <c r="L152" s="307"/>
      <c r="M152" s="307"/>
      <c r="N152" s="308"/>
      <c r="O152" s="309"/>
      <c r="P152" s="398"/>
      <c r="Q152" s="396"/>
      <c r="R152" s="401"/>
      <c r="S152" s="398"/>
      <c r="T152" s="306"/>
      <c r="U152" s="306"/>
      <c r="V152" s="306"/>
      <c r="W152" s="310"/>
      <c r="X152" s="306"/>
      <c r="Y152" s="310"/>
      <c r="Z152" s="306"/>
      <c r="AA152" s="306"/>
      <c r="AB152" s="311"/>
      <c r="AC152" s="311"/>
      <c r="AD152" s="311"/>
    </row>
    <row r="153" spans="1:30" ht="15.75" hidden="1" customHeight="1" x14ac:dyDescent="0.15">
      <c r="A153" s="290"/>
      <c r="B153" s="303"/>
      <c r="C153" s="303"/>
      <c r="D153" s="393" t="s">
        <v>273</v>
      </c>
      <c r="E153" s="394"/>
      <c r="F153" s="395"/>
      <c r="G153" s="402"/>
      <c r="H153" s="402"/>
      <c r="I153" s="310"/>
      <c r="J153" s="396"/>
      <c r="K153" s="397"/>
      <c r="L153" s="398"/>
      <c r="M153" s="398"/>
      <c r="N153" s="399"/>
      <c r="O153" s="400"/>
      <c r="P153" s="398"/>
      <c r="Q153" s="396"/>
      <c r="R153" s="401"/>
      <c r="S153" s="398"/>
      <c r="T153" s="306"/>
      <c r="U153" s="306"/>
      <c r="V153" s="306"/>
      <c r="W153" s="310"/>
      <c r="X153" s="306"/>
      <c r="Y153" s="310"/>
      <c r="Z153" s="306"/>
      <c r="AA153" s="306"/>
      <c r="AB153" s="311"/>
      <c r="AC153" s="311"/>
      <c r="AD153" s="311"/>
    </row>
    <row r="154" spans="1:30" ht="15.75" hidden="1" customHeight="1" x14ac:dyDescent="0.15">
      <c r="A154" s="290"/>
      <c r="B154" s="303"/>
      <c r="C154" s="303"/>
      <c r="D154" s="393" t="s">
        <v>274</v>
      </c>
      <c r="E154" s="394"/>
      <c r="F154" s="395"/>
      <c r="G154" s="402"/>
      <c r="H154" s="402"/>
      <c r="I154" s="310"/>
      <c r="J154" s="396"/>
      <c r="K154" s="306"/>
      <c r="L154" s="307"/>
      <c r="M154" s="307"/>
      <c r="N154" s="308"/>
      <c r="O154" s="309"/>
      <c r="P154" s="398"/>
      <c r="Q154" s="396"/>
      <c r="R154" s="401"/>
      <c r="S154" s="398"/>
      <c r="T154" s="306"/>
      <c r="U154" s="306"/>
      <c r="V154" s="306"/>
      <c r="W154" s="310"/>
      <c r="X154" s="306"/>
      <c r="Y154" s="310"/>
      <c r="Z154" s="306"/>
      <c r="AA154" s="306"/>
      <c r="AB154" s="311"/>
      <c r="AC154" s="311"/>
      <c r="AD154" s="311"/>
    </row>
    <row r="155" spans="1:30" ht="15.75" hidden="1" customHeight="1" x14ac:dyDescent="0.15">
      <c r="A155" s="290"/>
      <c r="B155" s="303"/>
      <c r="C155" s="303"/>
      <c r="D155" s="393" t="s">
        <v>241</v>
      </c>
      <c r="E155" s="394"/>
      <c r="F155" s="395"/>
      <c r="G155" s="402"/>
      <c r="H155" s="402"/>
      <c r="I155" s="310"/>
      <c r="J155" s="396"/>
      <c r="K155" s="397"/>
      <c r="L155" s="398"/>
      <c r="M155" s="398"/>
      <c r="N155" s="399"/>
      <c r="O155" s="400"/>
      <c r="P155" s="398"/>
      <c r="Q155" s="396"/>
      <c r="R155" s="401"/>
      <c r="S155" s="398"/>
      <c r="T155" s="306"/>
      <c r="U155" s="306"/>
      <c r="V155" s="306"/>
      <c r="W155" s="310"/>
      <c r="X155" s="306"/>
      <c r="Y155" s="310"/>
      <c r="Z155" s="306"/>
      <c r="AA155" s="306"/>
      <c r="AB155" s="311"/>
      <c r="AC155" s="311"/>
      <c r="AD155" s="311"/>
    </row>
    <row r="156" spans="1:30" ht="15.75" hidden="1" customHeight="1" x14ac:dyDescent="0.15">
      <c r="A156" s="290"/>
      <c r="B156" s="303"/>
      <c r="C156" s="303"/>
      <c r="D156" s="393" t="s">
        <v>235</v>
      </c>
      <c r="E156" s="394"/>
      <c r="F156" s="395"/>
      <c r="G156" s="402"/>
      <c r="H156" s="402"/>
      <c r="I156" s="310"/>
      <c r="J156" s="396"/>
      <c r="K156" s="306"/>
      <c r="L156" s="307"/>
      <c r="M156" s="307"/>
      <c r="N156" s="308"/>
      <c r="O156" s="309"/>
      <c r="P156" s="398"/>
      <c r="Q156" s="396"/>
      <c r="R156" s="401"/>
      <c r="S156" s="398"/>
      <c r="T156" s="306"/>
      <c r="U156" s="306"/>
      <c r="V156" s="306"/>
      <c r="W156" s="310"/>
      <c r="X156" s="306"/>
      <c r="Y156" s="310"/>
      <c r="Z156" s="306"/>
      <c r="AA156" s="306"/>
      <c r="AB156" s="311"/>
      <c r="AC156" s="311"/>
      <c r="AD156" s="311"/>
    </row>
    <row r="157" spans="1:30" ht="15.75" hidden="1" customHeight="1" x14ac:dyDescent="0.15">
      <c r="A157" s="290"/>
      <c r="B157" s="303"/>
      <c r="C157" s="303"/>
      <c r="D157" s="301" t="s">
        <v>239</v>
      </c>
      <c r="E157" s="302" t="s">
        <v>282</v>
      </c>
      <c r="F157" s="303" t="s">
        <v>240</v>
      </c>
      <c r="G157" s="345" t="s">
        <v>19</v>
      </c>
      <c r="H157" s="345" t="s">
        <v>227</v>
      </c>
      <c r="I157" s="331">
        <f>J157/$J$165</f>
        <v>4.7726999273260982E-2</v>
      </c>
      <c r="J157" s="305">
        <v>2000000</v>
      </c>
      <c r="K157" s="346">
        <v>4</v>
      </c>
      <c r="L157" s="334">
        <f>J157/K157</f>
        <v>500000</v>
      </c>
      <c r="M157" s="334">
        <v>30</v>
      </c>
      <c r="N157" s="347">
        <f>L157/M157</f>
        <v>16666.666666666668</v>
      </c>
      <c r="O157" s="348">
        <v>0.2</v>
      </c>
      <c r="P157" s="334">
        <f>L157*O157</f>
        <v>100000</v>
      </c>
      <c r="Q157" s="305">
        <f>J157*1000/P157</f>
        <v>20000</v>
      </c>
      <c r="R157" s="333">
        <v>1.1000000000000001</v>
      </c>
      <c r="S157" s="334">
        <f>P157/R157</f>
        <v>90909.090909090897</v>
      </c>
      <c r="T157" s="306"/>
      <c r="U157" s="306"/>
      <c r="V157" s="306"/>
      <c r="W157" s="310"/>
      <c r="X157" s="306"/>
      <c r="Y157" s="310"/>
      <c r="Z157" s="306"/>
      <c r="AA157" s="306"/>
      <c r="AB157" s="311"/>
      <c r="AC157" s="311"/>
      <c r="AD157" s="311"/>
    </row>
    <row r="158" spans="1:30" ht="15.75" hidden="1" customHeight="1" x14ac:dyDescent="0.15">
      <c r="A158" s="290"/>
      <c r="B158" s="303"/>
      <c r="C158" s="303"/>
      <c r="D158" s="301" t="s">
        <v>234</v>
      </c>
      <c r="E158" s="302" t="s">
        <v>282</v>
      </c>
      <c r="F158" s="303" t="s">
        <v>240</v>
      </c>
      <c r="G158" s="345" t="s">
        <v>22</v>
      </c>
      <c r="H158" s="345" t="s">
        <v>227</v>
      </c>
      <c r="I158" s="331">
        <f>J158/$J$165</f>
        <v>1.1931749818315246E-2</v>
      </c>
      <c r="J158" s="305">
        <v>500000</v>
      </c>
      <c r="K158" s="306"/>
      <c r="L158" s="307"/>
      <c r="M158" s="307"/>
      <c r="N158" s="308"/>
      <c r="O158" s="309"/>
      <c r="P158" s="334">
        <f>J158/Q158*1000</f>
        <v>1315789.4736842106</v>
      </c>
      <c r="Q158" s="305">
        <v>380</v>
      </c>
      <c r="R158" s="333">
        <v>1.1000000000000001</v>
      </c>
      <c r="S158" s="334">
        <f>P158/R158</f>
        <v>1196172.2488038277</v>
      </c>
      <c r="T158" s="306"/>
      <c r="U158" s="306"/>
      <c r="V158" s="306"/>
      <c r="W158" s="310"/>
      <c r="X158" s="306"/>
      <c r="Y158" s="310"/>
      <c r="Z158" s="306"/>
      <c r="AA158" s="306"/>
      <c r="AB158" s="311"/>
      <c r="AC158" s="311"/>
      <c r="AD158" s="311"/>
    </row>
    <row r="159" spans="1:30" ht="15.75" hidden="1" customHeight="1" x14ac:dyDescent="0.15">
      <c r="A159" s="290"/>
      <c r="B159" s="303"/>
      <c r="C159" s="303"/>
      <c r="D159" s="393" t="s">
        <v>275</v>
      </c>
      <c r="E159" s="394"/>
      <c r="F159" s="395"/>
      <c r="G159" s="402"/>
      <c r="H159" s="402"/>
      <c r="I159" s="310"/>
      <c r="J159" s="396"/>
      <c r="K159" s="397"/>
      <c r="L159" s="398"/>
      <c r="M159" s="398"/>
      <c r="N159" s="399"/>
      <c r="O159" s="400"/>
      <c r="P159" s="398"/>
      <c r="Q159" s="396"/>
      <c r="R159" s="401"/>
      <c r="S159" s="398"/>
      <c r="T159" s="306"/>
      <c r="U159" s="306"/>
      <c r="V159" s="306"/>
      <c r="W159" s="310"/>
      <c r="X159" s="306"/>
      <c r="Y159" s="310"/>
      <c r="Z159" s="306"/>
      <c r="AA159" s="306"/>
      <c r="AB159" s="311"/>
      <c r="AC159" s="311"/>
      <c r="AD159" s="311"/>
    </row>
    <row r="160" spans="1:30" ht="15.75" hidden="1" customHeight="1" x14ac:dyDescent="0.15">
      <c r="A160" s="290"/>
      <c r="B160" s="303"/>
      <c r="C160" s="303"/>
      <c r="D160" s="393" t="s">
        <v>276</v>
      </c>
      <c r="E160" s="394"/>
      <c r="F160" s="395"/>
      <c r="G160" s="402"/>
      <c r="H160" s="402"/>
      <c r="I160" s="310"/>
      <c r="J160" s="396"/>
      <c r="K160" s="306"/>
      <c r="L160" s="307"/>
      <c r="M160" s="307"/>
      <c r="N160" s="308"/>
      <c r="O160" s="309"/>
      <c r="P160" s="398"/>
      <c r="Q160" s="396"/>
      <c r="R160" s="401"/>
      <c r="S160" s="398"/>
      <c r="T160" s="306"/>
      <c r="U160" s="306"/>
      <c r="V160" s="306"/>
      <c r="W160" s="310"/>
      <c r="X160" s="306"/>
      <c r="Y160" s="310"/>
      <c r="Z160" s="306"/>
      <c r="AA160" s="306"/>
      <c r="AB160" s="311"/>
      <c r="AC160" s="311"/>
      <c r="AD160" s="311"/>
    </row>
    <row r="161" spans="1:30" ht="15.75" hidden="1" customHeight="1" x14ac:dyDescent="0.15">
      <c r="A161" s="290"/>
      <c r="B161" s="303"/>
      <c r="C161" s="303"/>
      <c r="D161" s="393" t="s">
        <v>242</v>
      </c>
      <c r="E161" s="394"/>
      <c r="F161" s="395"/>
      <c r="G161" s="402"/>
      <c r="H161" s="402"/>
      <c r="I161" s="310"/>
      <c r="J161" s="396"/>
      <c r="K161" s="397"/>
      <c r="L161" s="398"/>
      <c r="M161" s="398"/>
      <c r="N161" s="399"/>
      <c r="O161" s="400"/>
      <c r="P161" s="398"/>
      <c r="Q161" s="396"/>
      <c r="R161" s="401"/>
      <c r="S161" s="398"/>
      <c r="T161" s="306"/>
      <c r="U161" s="306"/>
      <c r="V161" s="306"/>
      <c r="W161" s="310"/>
      <c r="X161" s="306"/>
      <c r="Y161" s="310"/>
      <c r="Z161" s="306"/>
      <c r="AA161" s="306"/>
      <c r="AB161" s="311"/>
      <c r="AC161" s="311"/>
      <c r="AD161" s="311"/>
    </row>
    <row r="162" spans="1:30" ht="15.75" hidden="1" customHeight="1" x14ac:dyDescent="0.15">
      <c r="A162" s="290"/>
      <c r="B162" s="303"/>
      <c r="C162" s="303"/>
      <c r="D162" s="301" t="s">
        <v>244</v>
      </c>
      <c r="E162" s="302" t="s">
        <v>282</v>
      </c>
      <c r="F162" s="303" t="s">
        <v>243</v>
      </c>
      <c r="G162" s="345" t="s">
        <v>25</v>
      </c>
      <c r="H162" s="345" t="s">
        <v>245</v>
      </c>
      <c r="I162" s="331">
        <f>J162/$J$165</f>
        <v>2.3863499636630491E-2</v>
      </c>
      <c r="J162" s="305">
        <v>1000000</v>
      </c>
      <c r="K162" s="306"/>
      <c r="L162" s="306"/>
      <c r="M162" s="306"/>
      <c r="N162" s="306"/>
      <c r="O162" s="306"/>
      <c r="P162" s="306"/>
      <c r="Q162" s="306"/>
      <c r="R162" s="306"/>
      <c r="S162" s="306"/>
      <c r="T162" s="306"/>
      <c r="U162" s="306"/>
      <c r="V162" s="306"/>
      <c r="W162" s="310"/>
      <c r="X162" s="306"/>
      <c r="Y162" s="310"/>
      <c r="Z162" s="306"/>
      <c r="AA162" s="332">
        <v>1000</v>
      </c>
      <c r="AB162" s="340"/>
      <c r="AC162" s="340">
        <f>AA162*50000</f>
        <v>50000000</v>
      </c>
      <c r="AD162" s="340"/>
    </row>
    <row r="163" spans="1:30" ht="15.75" hidden="1" customHeight="1" x14ac:dyDescent="0.15">
      <c r="A163" s="290"/>
      <c r="B163" s="403"/>
      <c r="C163" s="403"/>
      <c r="D163" s="404" t="s">
        <v>277</v>
      </c>
      <c r="E163" s="302" t="s">
        <v>282</v>
      </c>
      <c r="F163" s="303" t="s">
        <v>210</v>
      </c>
      <c r="G163" s="303" t="s">
        <v>25</v>
      </c>
      <c r="H163" s="303" t="s">
        <v>227</v>
      </c>
      <c r="I163" s="331">
        <f>J163/$J$165</f>
        <v>0.11931749818315246</v>
      </c>
      <c r="J163" s="361">
        <v>5000000</v>
      </c>
      <c r="K163" s="359">
        <v>2</v>
      </c>
      <c r="L163" s="332">
        <f>M163*N163</f>
        <v>1000000</v>
      </c>
      <c r="M163" s="332">
        <v>100</v>
      </c>
      <c r="N163" s="332">
        <v>10000</v>
      </c>
      <c r="O163" s="360">
        <v>0.2</v>
      </c>
      <c r="P163" s="332">
        <f>N163*O163</f>
        <v>2000</v>
      </c>
      <c r="Q163" s="361">
        <f>J163*1000/P163</f>
        <v>2500000</v>
      </c>
      <c r="R163" s="362">
        <v>1.1000000000000001</v>
      </c>
      <c r="S163" s="332">
        <f>P163/R163</f>
        <v>1818.181818181818</v>
      </c>
      <c r="T163" s="306"/>
      <c r="U163" s="306"/>
      <c r="V163" s="306"/>
      <c r="W163" s="310"/>
      <c r="X163" s="306"/>
      <c r="Y163" s="310"/>
      <c r="Z163" s="306"/>
      <c r="AA163" s="332">
        <f>J163*5/70000</f>
        <v>357.14285714285717</v>
      </c>
      <c r="AB163" s="340"/>
      <c r="AC163" s="340">
        <f>AA163*50000</f>
        <v>17857142.857142858</v>
      </c>
      <c r="AD163" s="340"/>
    </row>
    <row r="164" spans="1:30" ht="15.75" hidden="1" customHeight="1" x14ac:dyDescent="0.15">
      <c r="A164" s="290"/>
      <c r="B164" s="403"/>
      <c r="C164" s="403"/>
      <c r="D164" s="405" t="s">
        <v>278</v>
      </c>
      <c r="E164" s="302" t="s">
        <v>282</v>
      </c>
      <c r="F164" s="406" t="s">
        <v>210</v>
      </c>
      <c r="G164" s="406" t="s">
        <v>25</v>
      </c>
      <c r="H164" s="406" t="s">
        <v>279</v>
      </c>
      <c r="I164" s="331">
        <f>J164/$J$165</f>
        <v>0.4750030079941292</v>
      </c>
      <c r="J164" s="407">
        <v>19905002</v>
      </c>
      <c r="K164" s="408"/>
      <c r="L164" s="408"/>
      <c r="M164" s="408"/>
      <c r="N164" s="408"/>
      <c r="O164" s="408"/>
      <c r="P164" s="408"/>
      <c r="Q164" s="408"/>
      <c r="R164" s="408"/>
      <c r="S164" s="408"/>
      <c r="T164" s="306"/>
      <c r="U164" s="306"/>
      <c r="V164" s="306"/>
      <c r="W164" s="310"/>
      <c r="X164" s="306"/>
      <c r="Y164" s="310"/>
      <c r="Z164" s="306"/>
      <c r="AA164" s="409">
        <v>2044</v>
      </c>
      <c r="AB164" s="410"/>
      <c r="AC164" s="410">
        <f>AA164*50000</f>
        <v>102200000</v>
      </c>
      <c r="AD164" s="340"/>
    </row>
    <row r="165" spans="1:30" ht="15.75" hidden="1" customHeight="1" x14ac:dyDescent="0.15">
      <c r="A165" s="290"/>
      <c r="B165" s="313"/>
      <c r="C165" s="313"/>
      <c r="D165" s="314" t="s">
        <v>27</v>
      </c>
      <c r="E165" s="315"/>
      <c r="F165" s="315"/>
      <c r="G165" s="315"/>
      <c r="H165" s="315"/>
      <c r="I165" s="316">
        <f>J165/J165</f>
        <v>1</v>
      </c>
      <c r="J165" s="317">
        <f>SUM(J143:J164)</f>
        <v>41905002</v>
      </c>
      <c r="K165" s="315"/>
      <c r="L165" s="318"/>
      <c r="M165" s="318">
        <f>SUM(M143:M164)</f>
        <v>132</v>
      </c>
      <c r="N165" s="318"/>
      <c r="O165" s="318"/>
      <c r="P165" s="318">
        <f>SUM(P143:P164)</f>
        <v>24326327.485380113</v>
      </c>
      <c r="Q165" s="318">
        <f>J165/P165*1000</f>
        <v>1722.619331881662</v>
      </c>
      <c r="R165" s="319">
        <f>P165/T165</f>
        <v>5.4999999999999982</v>
      </c>
      <c r="S165" s="318">
        <f>SUM(S143:S164)</f>
        <v>22114843.16852738</v>
      </c>
      <c r="T165" s="318">
        <f>S165/5</f>
        <v>4422968.6337054763</v>
      </c>
      <c r="U165" s="318"/>
      <c r="V165" s="318"/>
      <c r="W165" s="320"/>
      <c r="X165" s="318"/>
      <c r="Y165" s="320"/>
      <c r="Z165" s="318"/>
      <c r="AA165" s="318">
        <f>SUM(AA146:AA164)</f>
        <v>3401.1428571428569</v>
      </c>
      <c r="AB165" s="317"/>
      <c r="AC165" s="317">
        <f>SUM(AC146:AC164)</f>
        <v>170057142.85714287</v>
      </c>
      <c r="AD165" s="317"/>
    </row>
    <row r="166" spans="1:30" ht="15.75" hidden="1" customHeight="1" x14ac:dyDescent="0.15">
      <c r="A166" s="290"/>
      <c r="B166" s="290"/>
      <c r="C166" s="290"/>
      <c r="D166" s="290"/>
      <c r="E166" s="290"/>
      <c r="F166" s="290"/>
      <c r="G166" s="290"/>
      <c r="H166" s="290"/>
      <c r="I166" s="290"/>
      <c r="J166" s="290"/>
      <c r="K166" s="290"/>
      <c r="L166" s="290"/>
      <c r="M166" s="290"/>
      <c r="N166" s="290"/>
      <c r="O166" s="290"/>
      <c r="P166" s="290"/>
      <c r="Q166" s="290"/>
      <c r="R166" s="290"/>
      <c r="S166" s="290"/>
      <c r="T166" s="290"/>
      <c r="U166" s="290"/>
      <c r="V166" s="290"/>
      <c r="W166" s="291"/>
      <c r="X166" s="290"/>
      <c r="Y166" s="291"/>
      <c r="Z166" s="290"/>
      <c r="AA166" s="290"/>
      <c r="AB166" s="292"/>
      <c r="AC166" s="292"/>
      <c r="AD166" s="292"/>
    </row>
    <row r="167" spans="1:30" ht="15.75" hidden="1" customHeight="1" x14ac:dyDescent="0.15">
      <c r="A167" s="290"/>
      <c r="B167" s="390"/>
      <c r="C167" s="390"/>
      <c r="D167" s="295" t="s">
        <v>72</v>
      </c>
      <c r="E167" s="392"/>
      <c r="F167" s="296"/>
      <c r="G167" s="296"/>
      <c r="H167" s="296"/>
      <c r="I167" s="296"/>
      <c r="J167" s="296"/>
      <c r="K167" s="296"/>
      <c r="L167" s="296"/>
      <c r="M167" s="296"/>
      <c r="N167" s="296"/>
      <c r="O167" s="296"/>
      <c r="P167" s="296"/>
      <c r="Q167" s="296"/>
      <c r="R167" s="296"/>
      <c r="S167" s="296"/>
      <c r="T167" s="296"/>
      <c r="U167" s="296"/>
      <c r="V167" s="296"/>
      <c r="W167" s="297"/>
      <c r="X167" s="296"/>
      <c r="Y167" s="297"/>
      <c r="Z167" s="296"/>
      <c r="AA167" s="296"/>
      <c r="AB167" s="298"/>
      <c r="AC167" s="298"/>
      <c r="AD167" s="299"/>
    </row>
    <row r="168" spans="1:30" ht="15.75" hidden="1" customHeight="1" x14ac:dyDescent="0.15">
      <c r="A168" s="290"/>
      <c r="B168" s="303"/>
      <c r="C168" s="303"/>
      <c r="D168" s="301" t="s">
        <v>264</v>
      </c>
      <c r="E168" s="302" t="s">
        <v>283</v>
      </c>
      <c r="F168" s="303" t="s">
        <v>224</v>
      </c>
      <c r="G168" s="303" t="s">
        <v>22</v>
      </c>
      <c r="H168" s="303" t="s">
        <v>227</v>
      </c>
      <c r="I168" s="331">
        <f>J168/$J$190</f>
        <v>3.7558782781446455E-2</v>
      </c>
      <c r="J168" s="305">
        <v>2000000</v>
      </c>
      <c r="K168" s="306"/>
      <c r="L168" s="307"/>
      <c r="M168" s="307"/>
      <c r="N168" s="308"/>
      <c r="O168" s="309"/>
      <c r="P168" s="334">
        <f>J168/Q168*1000</f>
        <v>5263157.8947368423</v>
      </c>
      <c r="Q168" s="305">
        <v>380</v>
      </c>
      <c r="R168" s="333">
        <v>1.1000000000000001</v>
      </c>
      <c r="S168" s="334">
        <f t="shared" ref="S168:S173" si="22">P168/R168</f>
        <v>4784688.9952153107</v>
      </c>
      <c r="T168" s="306"/>
      <c r="U168" s="306"/>
      <c r="V168" s="306"/>
      <c r="W168" s="310"/>
      <c r="X168" s="306"/>
      <c r="Y168" s="310"/>
      <c r="Z168" s="306"/>
      <c r="AA168" s="306"/>
      <c r="AB168" s="311"/>
      <c r="AC168" s="311"/>
      <c r="AD168" s="311"/>
    </row>
    <row r="169" spans="1:30" ht="15.75" hidden="1" customHeight="1" x14ac:dyDescent="0.15">
      <c r="A169" s="290"/>
      <c r="B169" s="303"/>
      <c r="C169" s="303"/>
      <c r="D169" s="301" t="s">
        <v>265</v>
      </c>
      <c r="E169" s="302" t="s">
        <v>283</v>
      </c>
      <c r="F169" s="303" t="s">
        <v>224</v>
      </c>
      <c r="G169" s="303" t="s">
        <v>22</v>
      </c>
      <c r="H169" s="303" t="s">
        <v>48</v>
      </c>
      <c r="I169" s="331">
        <f>J169/$J$190</f>
        <v>3.7558782781446455E-2</v>
      </c>
      <c r="J169" s="305">
        <v>2000000</v>
      </c>
      <c r="K169" s="306"/>
      <c r="L169" s="307"/>
      <c r="M169" s="307"/>
      <c r="N169" s="308"/>
      <c r="O169" s="309"/>
      <c r="P169" s="334">
        <f>J169/Q169*1000</f>
        <v>5263157.8947368423</v>
      </c>
      <c r="Q169" s="305">
        <v>380</v>
      </c>
      <c r="R169" s="333">
        <v>1.1000000000000001</v>
      </c>
      <c r="S169" s="334">
        <f t="shared" si="22"/>
        <v>4784688.9952153107</v>
      </c>
      <c r="T169" s="306"/>
      <c r="U169" s="306"/>
      <c r="V169" s="306"/>
      <c r="W169" s="310"/>
      <c r="X169" s="306"/>
      <c r="Y169" s="310"/>
      <c r="Z169" s="306"/>
      <c r="AA169" s="306"/>
      <c r="AB169" s="311"/>
      <c r="AC169" s="311"/>
      <c r="AD169" s="311"/>
    </row>
    <row r="170" spans="1:30" ht="15.75" hidden="1" customHeight="1" x14ac:dyDescent="0.15">
      <c r="A170" s="290"/>
      <c r="B170" s="303"/>
      <c r="C170" s="303"/>
      <c r="D170" s="301" t="s">
        <v>266</v>
      </c>
      <c r="E170" s="302" t="s">
        <v>283</v>
      </c>
      <c r="F170" s="303" t="s">
        <v>224</v>
      </c>
      <c r="G170" s="303" t="s">
        <v>22</v>
      </c>
      <c r="H170" s="303" t="s">
        <v>65</v>
      </c>
      <c r="I170" s="331">
        <f>J170/$J$190</f>
        <v>3.7558782781446455E-2</v>
      </c>
      <c r="J170" s="305">
        <v>2000000</v>
      </c>
      <c r="K170" s="306"/>
      <c r="L170" s="307"/>
      <c r="M170" s="307"/>
      <c r="N170" s="308"/>
      <c r="O170" s="309"/>
      <c r="P170" s="334">
        <f>J170/Q170*1000</f>
        <v>4444444.444444444</v>
      </c>
      <c r="Q170" s="305">
        <v>450</v>
      </c>
      <c r="R170" s="333">
        <v>1.1000000000000001</v>
      </c>
      <c r="S170" s="334">
        <f t="shared" si="22"/>
        <v>4040404.0404040399</v>
      </c>
      <c r="T170" s="306"/>
      <c r="U170" s="306"/>
      <c r="V170" s="306"/>
      <c r="W170" s="310"/>
      <c r="X170" s="306"/>
      <c r="Y170" s="310"/>
      <c r="Z170" s="306"/>
      <c r="AA170" s="306"/>
      <c r="AB170" s="311"/>
      <c r="AC170" s="311"/>
      <c r="AD170" s="311"/>
    </row>
    <row r="171" spans="1:30" ht="15.75" hidden="1" customHeight="1" x14ac:dyDescent="0.15">
      <c r="A171" s="290"/>
      <c r="B171" s="303"/>
      <c r="C171" s="303"/>
      <c r="D171" s="301" t="s">
        <v>267</v>
      </c>
      <c r="E171" s="302" t="s">
        <v>283</v>
      </c>
      <c r="F171" s="303" t="s">
        <v>224</v>
      </c>
      <c r="G171" s="303" t="s">
        <v>22</v>
      </c>
      <c r="H171" s="303" t="s">
        <v>58</v>
      </c>
      <c r="I171" s="331">
        <f>J171/$J$190</f>
        <v>3.7558782781446455E-2</v>
      </c>
      <c r="J171" s="305">
        <v>2000000</v>
      </c>
      <c r="K171" s="306"/>
      <c r="L171" s="307"/>
      <c r="M171" s="307"/>
      <c r="N171" s="308"/>
      <c r="O171" s="309"/>
      <c r="P171" s="334">
        <f>J171/Q171*1000</f>
        <v>4444444.444444444</v>
      </c>
      <c r="Q171" s="305">
        <v>450</v>
      </c>
      <c r="R171" s="333">
        <v>1.1000000000000001</v>
      </c>
      <c r="S171" s="334">
        <f t="shared" si="22"/>
        <v>4040404.0404040399</v>
      </c>
      <c r="T171" s="306"/>
      <c r="U171" s="306"/>
      <c r="V171" s="306"/>
      <c r="W171" s="310"/>
      <c r="X171" s="306"/>
      <c r="Y171" s="310"/>
      <c r="Z171" s="306"/>
      <c r="AA171" s="306"/>
      <c r="AB171" s="311"/>
      <c r="AC171" s="311"/>
      <c r="AD171" s="311"/>
    </row>
    <row r="172" spans="1:30" ht="15.75" hidden="1" customHeight="1" x14ac:dyDescent="0.15">
      <c r="A172" s="290"/>
      <c r="B172" s="303"/>
      <c r="C172" s="303"/>
      <c r="D172" s="301" t="s">
        <v>268</v>
      </c>
      <c r="E172" s="302" t="s">
        <v>283</v>
      </c>
      <c r="F172" s="303" t="s">
        <v>237</v>
      </c>
      <c r="G172" s="303" t="s">
        <v>19</v>
      </c>
      <c r="H172" s="303" t="s">
        <v>65</v>
      </c>
      <c r="I172" s="331">
        <f>J172/$J$165</f>
        <v>4.7726999273260982E-2</v>
      </c>
      <c r="J172" s="305">
        <v>2000000</v>
      </c>
      <c r="K172" s="346">
        <v>5</v>
      </c>
      <c r="L172" s="334">
        <f>J172/K172</f>
        <v>400000</v>
      </c>
      <c r="M172" s="334">
        <v>2</v>
      </c>
      <c r="N172" s="347">
        <f>L172/M172</f>
        <v>200000</v>
      </c>
      <c r="O172" s="348">
        <v>0.2</v>
      </c>
      <c r="P172" s="334">
        <f>L172*O172</f>
        <v>80000</v>
      </c>
      <c r="Q172" s="305">
        <f>J172*1000/P172</f>
        <v>25000</v>
      </c>
      <c r="R172" s="333">
        <v>1.1000000000000001</v>
      </c>
      <c r="S172" s="334">
        <f t="shared" si="22"/>
        <v>72727.272727272721</v>
      </c>
      <c r="T172" s="306"/>
      <c r="U172" s="306"/>
      <c r="V172" s="306"/>
      <c r="W172" s="310"/>
      <c r="X172" s="306"/>
      <c r="Y172" s="310"/>
      <c r="Z172" s="306"/>
      <c r="AA172" s="306"/>
      <c r="AB172" s="311"/>
      <c r="AC172" s="311"/>
      <c r="AD172" s="311"/>
    </row>
    <row r="173" spans="1:30" ht="15.75" hidden="1" customHeight="1" x14ac:dyDescent="0.15">
      <c r="A173" s="290"/>
      <c r="B173" s="303"/>
      <c r="C173" s="303"/>
      <c r="D173" s="301" t="s">
        <v>233</v>
      </c>
      <c r="E173" s="302" t="s">
        <v>283</v>
      </c>
      <c r="F173" s="303" t="s">
        <v>237</v>
      </c>
      <c r="G173" s="303" t="s">
        <v>22</v>
      </c>
      <c r="H173" s="303" t="s">
        <v>65</v>
      </c>
      <c r="I173" s="331">
        <f>J173/$J$190</f>
        <v>5.6338174172169686E-2</v>
      </c>
      <c r="J173" s="305">
        <v>3000000</v>
      </c>
      <c r="K173" s="306"/>
      <c r="L173" s="307"/>
      <c r="M173" s="307"/>
      <c r="N173" s="308"/>
      <c r="O173" s="309"/>
      <c r="P173" s="334">
        <f>J173/Q173*1000</f>
        <v>6666666.666666667</v>
      </c>
      <c r="Q173" s="305">
        <v>450</v>
      </c>
      <c r="R173" s="333">
        <v>1.1000000000000001</v>
      </c>
      <c r="S173" s="334">
        <f t="shared" si="22"/>
        <v>6060606.0606060605</v>
      </c>
      <c r="T173" s="306"/>
      <c r="U173" s="306"/>
      <c r="V173" s="306"/>
      <c r="W173" s="310"/>
      <c r="X173" s="306"/>
      <c r="Y173" s="310"/>
      <c r="Z173" s="306"/>
      <c r="AA173" s="306"/>
      <c r="AB173" s="311"/>
      <c r="AC173" s="311"/>
      <c r="AD173" s="311"/>
    </row>
    <row r="174" spans="1:30" ht="15.75" hidden="1" customHeight="1" x14ac:dyDescent="0.15">
      <c r="A174" s="290"/>
      <c r="B174" s="303"/>
      <c r="C174" s="303"/>
      <c r="D174" s="393" t="s">
        <v>269</v>
      </c>
      <c r="E174" s="394"/>
      <c r="F174" s="395"/>
      <c r="G174" s="395"/>
      <c r="H174" s="395"/>
      <c r="I174" s="310"/>
      <c r="J174" s="396"/>
      <c r="K174" s="397"/>
      <c r="L174" s="398"/>
      <c r="M174" s="398"/>
      <c r="N174" s="399"/>
      <c r="O174" s="400"/>
      <c r="P174" s="398"/>
      <c r="Q174" s="396"/>
      <c r="R174" s="401"/>
      <c r="S174" s="398"/>
      <c r="T174" s="306"/>
      <c r="U174" s="306"/>
      <c r="V174" s="306"/>
      <c r="W174" s="310"/>
      <c r="X174" s="306"/>
      <c r="Y174" s="310"/>
      <c r="Z174" s="306"/>
      <c r="AA174" s="306"/>
      <c r="AB174" s="311"/>
      <c r="AC174" s="311"/>
      <c r="AD174" s="311"/>
    </row>
    <row r="175" spans="1:30" ht="15.75" hidden="1" customHeight="1" x14ac:dyDescent="0.15">
      <c r="A175" s="290"/>
      <c r="B175" s="303"/>
      <c r="C175" s="303"/>
      <c r="D175" s="393" t="s">
        <v>270</v>
      </c>
      <c r="E175" s="394"/>
      <c r="F175" s="395"/>
      <c r="G175" s="395"/>
      <c r="H175" s="395"/>
      <c r="I175" s="310"/>
      <c r="J175" s="396"/>
      <c r="K175" s="306"/>
      <c r="L175" s="307"/>
      <c r="M175" s="307"/>
      <c r="N175" s="308"/>
      <c r="O175" s="309"/>
      <c r="P175" s="398"/>
      <c r="Q175" s="396"/>
      <c r="R175" s="401"/>
      <c r="S175" s="398"/>
      <c r="T175" s="306"/>
      <c r="U175" s="306"/>
      <c r="V175" s="306"/>
      <c r="W175" s="310"/>
      <c r="X175" s="306"/>
      <c r="Y175" s="310"/>
      <c r="Z175" s="306"/>
      <c r="AA175" s="306"/>
      <c r="AB175" s="311"/>
      <c r="AC175" s="311"/>
      <c r="AD175" s="311"/>
    </row>
    <row r="176" spans="1:30" ht="15.75" hidden="1" customHeight="1" x14ac:dyDescent="0.15">
      <c r="A176" s="290"/>
      <c r="B176" s="303"/>
      <c r="C176" s="303"/>
      <c r="D176" s="393" t="s">
        <v>271</v>
      </c>
      <c r="E176" s="394"/>
      <c r="F176" s="395"/>
      <c r="G176" s="395"/>
      <c r="H176" s="395"/>
      <c r="I176" s="310"/>
      <c r="J176" s="396"/>
      <c r="K176" s="397"/>
      <c r="L176" s="398"/>
      <c r="M176" s="398"/>
      <c r="N176" s="399"/>
      <c r="O176" s="400"/>
      <c r="P176" s="398"/>
      <c r="Q176" s="396"/>
      <c r="R176" s="401"/>
      <c r="S176" s="398"/>
      <c r="T176" s="306"/>
      <c r="U176" s="306"/>
      <c r="V176" s="306"/>
      <c r="W176" s="310"/>
      <c r="X176" s="306"/>
      <c r="Y176" s="310"/>
      <c r="Z176" s="306"/>
      <c r="AA176" s="306"/>
      <c r="AB176" s="311"/>
      <c r="AC176" s="311"/>
      <c r="AD176" s="311"/>
    </row>
    <row r="177" spans="1:30" ht="15.75" hidden="1" customHeight="1" x14ac:dyDescent="0.15">
      <c r="A177" s="290"/>
      <c r="B177" s="303"/>
      <c r="C177" s="303"/>
      <c r="D177" s="393" t="s">
        <v>272</v>
      </c>
      <c r="E177" s="394"/>
      <c r="F177" s="395"/>
      <c r="G177" s="395"/>
      <c r="H177" s="395"/>
      <c r="I177" s="310"/>
      <c r="J177" s="396"/>
      <c r="K177" s="306"/>
      <c r="L177" s="307"/>
      <c r="M177" s="307"/>
      <c r="N177" s="308"/>
      <c r="O177" s="309"/>
      <c r="P177" s="398"/>
      <c r="Q177" s="396"/>
      <c r="R177" s="401"/>
      <c r="S177" s="398"/>
      <c r="T177" s="306"/>
      <c r="U177" s="306"/>
      <c r="V177" s="306"/>
      <c r="W177" s="310"/>
      <c r="X177" s="306"/>
      <c r="Y177" s="310"/>
      <c r="Z177" s="306"/>
      <c r="AA177" s="306"/>
      <c r="AB177" s="311"/>
      <c r="AC177" s="311"/>
      <c r="AD177" s="311"/>
    </row>
    <row r="178" spans="1:30" ht="15.75" hidden="1" customHeight="1" x14ac:dyDescent="0.15">
      <c r="A178" s="290"/>
      <c r="B178" s="303"/>
      <c r="C178" s="303"/>
      <c r="D178" s="393" t="s">
        <v>273</v>
      </c>
      <c r="E178" s="394"/>
      <c r="F178" s="395"/>
      <c r="G178" s="402"/>
      <c r="H178" s="402"/>
      <c r="I178" s="310"/>
      <c r="J178" s="396"/>
      <c r="K178" s="397"/>
      <c r="L178" s="398"/>
      <c r="M178" s="398"/>
      <c r="N178" s="399"/>
      <c r="O178" s="400"/>
      <c r="P178" s="398"/>
      <c r="Q178" s="396"/>
      <c r="R178" s="401"/>
      <c r="S178" s="398"/>
      <c r="T178" s="306"/>
      <c r="U178" s="306"/>
      <c r="V178" s="306"/>
      <c r="W178" s="310"/>
      <c r="X178" s="306"/>
      <c r="Y178" s="310"/>
      <c r="Z178" s="306"/>
      <c r="AA178" s="306"/>
      <c r="AB178" s="311"/>
      <c r="AC178" s="311"/>
      <c r="AD178" s="311"/>
    </row>
    <row r="179" spans="1:30" ht="15.75" hidden="1" customHeight="1" x14ac:dyDescent="0.15">
      <c r="A179" s="290"/>
      <c r="B179" s="303"/>
      <c r="C179" s="303"/>
      <c r="D179" s="393" t="s">
        <v>274</v>
      </c>
      <c r="E179" s="394"/>
      <c r="F179" s="395"/>
      <c r="G179" s="402"/>
      <c r="H179" s="402"/>
      <c r="I179" s="310"/>
      <c r="J179" s="396"/>
      <c r="K179" s="306"/>
      <c r="L179" s="307"/>
      <c r="M179" s="307"/>
      <c r="N179" s="308"/>
      <c r="O179" s="309"/>
      <c r="P179" s="398"/>
      <c r="Q179" s="396"/>
      <c r="R179" s="401"/>
      <c r="S179" s="398"/>
      <c r="T179" s="306"/>
      <c r="U179" s="306"/>
      <c r="V179" s="306"/>
      <c r="W179" s="310"/>
      <c r="X179" s="306"/>
      <c r="Y179" s="310"/>
      <c r="Z179" s="306"/>
      <c r="AA179" s="306"/>
      <c r="AB179" s="311"/>
      <c r="AC179" s="311"/>
      <c r="AD179" s="311"/>
    </row>
    <row r="180" spans="1:30" ht="15.75" hidden="1" customHeight="1" x14ac:dyDescent="0.15">
      <c r="A180" s="290"/>
      <c r="B180" s="303"/>
      <c r="C180" s="303"/>
      <c r="D180" s="301" t="s">
        <v>241</v>
      </c>
      <c r="E180" s="302" t="s">
        <v>283</v>
      </c>
      <c r="F180" s="303" t="s">
        <v>240</v>
      </c>
      <c r="G180" s="345" t="s">
        <v>19</v>
      </c>
      <c r="H180" s="345" t="s">
        <v>48</v>
      </c>
      <c r="I180" s="331">
        <f>J180/$J$190</f>
        <v>3.7558782781446455E-2</v>
      </c>
      <c r="J180" s="305">
        <v>2000000</v>
      </c>
      <c r="K180" s="346">
        <v>4</v>
      </c>
      <c r="L180" s="334">
        <f>J180/K180</f>
        <v>500000</v>
      </c>
      <c r="M180" s="334">
        <v>10</v>
      </c>
      <c r="N180" s="347">
        <f>L180/M180</f>
        <v>50000</v>
      </c>
      <c r="O180" s="348">
        <v>0.2</v>
      </c>
      <c r="P180" s="334">
        <f>L180*O180</f>
        <v>100000</v>
      </c>
      <c r="Q180" s="305">
        <f>J180*1000/P180</f>
        <v>20000</v>
      </c>
      <c r="R180" s="333">
        <v>1.1000000000000001</v>
      </c>
      <c r="S180" s="334">
        <f>P180/R180</f>
        <v>90909.090909090897</v>
      </c>
      <c r="T180" s="306"/>
      <c r="U180" s="306"/>
      <c r="V180" s="306"/>
      <c r="W180" s="310"/>
      <c r="X180" s="306"/>
      <c r="Y180" s="310"/>
      <c r="Z180" s="306"/>
      <c r="AA180" s="306"/>
      <c r="AB180" s="311"/>
      <c r="AC180" s="311"/>
      <c r="AD180" s="311"/>
    </row>
    <row r="181" spans="1:30" ht="15.75" hidden="1" customHeight="1" x14ac:dyDescent="0.15">
      <c r="A181" s="290"/>
      <c r="B181" s="303"/>
      <c r="C181" s="303"/>
      <c r="D181" s="301" t="s">
        <v>235</v>
      </c>
      <c r="E181" s="302" t="s">
        <v>283</v>
      </c>
      <c r="F181" s="303" t="s">
        <v>240</v>
      </c>
      <c r="G181" s="345" t="s">
        <v>22</v>
      </c>
      <c r="H181" s="345" t="s">
        <v>48</v>
      </c>
      <c r="I181" s="331">
        <f>J181/$J$190</f>
        <v>9.3896956953616138E-3</v>
      </c>
      <c r="J181" s="305">
        <v>500000</v>
      </c>
      <c r="K181" s="306"/>
      <c r="L181" s="307"/>
      <c r="M181" s="307"/>
      <c r="N181" s="308"/>
      <c r="O181" s="309"/>
      <c r="P181" s="334">
        <f>J181/Q181*1000</f>
        <v>1315789.4736842106</v>
      </c>
      <c r="Q181" s="305">
        <v>380</v>
      </c>
      <c r="R181" s="333">
        <v>1.1000000000000001</v>
      </c>
      <c r="S181" s="334">
        <f>P181/R181</f>
        <v>1196172.2488038277</v>
      </c>
      <c r="T181" s="306"/>
      <c r="U181" s="306"/>
      <c r="V181" s="306"/>
      <c r="W181" s="310"/>
      <c r="X181" s="306"/>
      <c r="Y181" s="310"/>
      <c r="Z181" s="306"/>
      <c r="AA181" s="306"/>
      <c r="AB181" s="311"/>
      <c r="AC181" s="311"/>
      <c r="AD181" s="311"/>
    </row>
    <row r="182" spans="1:30" ht="15.75" hidden="1" customHeight="1" x14ac:dyDescent="0.15">
      <c r="A182" s="290"/>
      <c r="B182" s="303"/>
      <c r="C182" s="303"/>
      <c r="D182" s="301" t="s">
        <v>239</v>
      </c>
      <c r="E182" s="302" t="s">
        <v>283</v>
      </c>
      <c r="F182" s="303" t="s">
        <v>240</v>
      </c>
      <c r="G182" s="345" t="s">
        <v>19</v>
      </c>
      <c r="H182" s="345" t="s">
        <v>227</v>
      </c>
      <c r="I182" s="331">
        <f>J182/$J$190</f>
        <v>3.7558782781446455E-2</v>
      </c>
      <c r="J182" s="305">
        <v>2000000</v>
      </c>
      <c r="K182" s="346">
        <v>4</v>
      </c>
      <c r="L182" s="334">
        <f>J182/K182</f>
        <v>500000</v>
      </c>
      <c r="M182" s="334">
        <v>30</v>
      </c>
      <c r="N182" s="347">
        <f>L182/M182</f>
        <v>16666.666666666668</v>
      </c>
      <c r="O182" s="348">
        <v>0.2</v>
      </c>
      <c r="P182" s="334">
        <f>L182*O182</f>
        <v>100000</v>
      </c>
      <c r="Q182" s="305">
        <f>J182*1000/P182</f>
        <v>20000</v>
      </c>
      <c r="R182" s="333">
        <v>1.1000000000000001</v>
      </c>
      <c r="S182" s="334">
        <f>P182/R182</f>
        <v>90909.090909090897</v>
      </c>
      <c r="T182" s="306"/>
      <c r="U182" s="306"/>
      <c r="V182" s="306"/>
      <c r="W182" s="310"/>
      <c r="X182" s="306"/>
      <c r="Y182" s="310"/>
      <c r="Z182" s="306"/>
      <c r="AA182" s="306"/>
      <c r="AB182" s="311"/>
      <c r="AC182" s="311"/>
      <c r="AD182" s="311"/>
    </row>
    <row r="183" spans="1:30" ht="15.75" hidden="1" customHeight="1" x14ac:dyDescent="0.15">
      <c r="A183" s="290"/>
      <c r="B183" s="303"/>
      <c r="C183" s="303"/>
      <c r="D183" s="301" t="s">
        <v>234</v>
      </c>
      <c r="E183" s="302" t="s">
        <v>283</v>
      </c>
      <c r="F183" s="303" t="s">
        <v>240</v>
      </c>
      <c r="G183" s="345" t="s">
        <v>22</v>
      </c>
      <c r="H183" s="345" t="s">
        <v>227</v>
      </c>
      <c r="I183" s="331">
        <f>J183/$J$190</f>
        <v>9.3896956953616138E-3</v>
      </c>
      <c r="J183" s="305">
        <v>500000</v>
      </c>
      <c r="K183" s="306"/>
      <c r="L183" s="307"/>
      <c r="M183" s="307"/>
      <c r="N183" s="308"/>
      <c r="O183" s="309"/>
      <c r="P183" s="334">
        <f>J183/Q183*1000</f>
        <v>1315789.4736842106</v>
      </c>
      <c r="Q183" s="305">
        <v>380</v>
      </c>
      <c r="R183" s="333">
        <v>1.1000000000000001</v>
      </c>
      <c r="S183" s="334">
        <f>P183/R183</f>
        <v>1196172.2488038277</v>
      </c>
      <c r="T183" s="306"/>
      <c r="U183" s="306"/>
      <c r="V183" s="306"/>
      <c r="W183" s="310"/>
      <c r="X183" s="306"/>
      <c r="Y183" s="310"/>
      <c r="Z183" s="306"/>
      <c r="AA183" s="306"/>
      <c r="AB183" s="311"/>
      <c r="AC183" s="311"/>
      <c r="AD183" s="311"/>
    </row>
    <row r="184" spans="1:30" ht="15.75" hidden="1" customHeight="1" x14ac:dyDescent="0.15">
      <c r="A184" s="290"/>
      <c r="B184" s="303"/>
      <c r="C184" s="303"/>
      <c r="D184" s="393" t="s">
        <v>275</v>
      </c>
      <c r="E184" s="394"/>
      <c r="F184" s="395"/>
      <c r="G184" s="402"/>
      <c r="H184" s="402"/>
      <c r="I184" s="310"/>
      <c r="J184" s="396"/>
      <c r="K184" s="397"/>
      <c r="L184" s="398"/>
      <c r="M184" s="398"/>
      <c r="N184" s="399"/>
      <c r="O184" s="400"/>
      <c r="P184" s="398"/>
      <c r="Q184" s="396"/>
      <c r="R184" s="401"/>
      <c r="S184" s="398"/>
      <c r="T184" s="306"/>
      <c r="U184" s="306"/>
      <c r="V184" s="306"/>
      <c r="W184" s="310"/>
      <c r="X184" s="306"/>
      <c r="Y184" s="310"/>
      <c r="Z184" s="306"/>
      <c r="AA184" s="306"/>
      <c r="AB184" s="311"/>
      <c r="AC184" s="311"/>
      <c r="AD184" s="311"/>
    </row>
    <row r="185" spans="1:30" ht="15.75" hidden="1" customHeight="1" x14ac:dyDescent="0.15">
      <c r="A185" s="290"/>
      <c r="B185" s="303"/>
      <c r="C185" s="303"/>
      <c r="D185" s="393" t="s">
        <v>276</v>
      </c>
      <c r="E185" s="394"/>
      <c r="F185" s="395"/>
      <c r="G185" s="402"/>
      <c r="H185" s="402"/>
      <c r="I185" s="310"/>
      <c r="J185" s="396"/>
      <c r="K185" s="306"/>
      <c r="L185" s="307"/>
      <c r="M185" s="307"/>
      <c r="N185" s="308"/>
      <c r="O185" s="309"/>
      <c r="P185" s="398"/>
      <c r="Q185" s="396"/>
      <c r="R185" s="401"/>
      <c r="S185" s="398"/>
      <c r="T185" s="306"/>
      <c r="U185" s="306"/>
      <c r="V185" s="306"/>
      <c r="W185" s="310"/>
      <c r="X185" s="306"/>
      <c r="Y185" s="310"/>
      <c r="Z185" s="306"/>
      <c r="AA185" s="306"/>
      <c r="AB185" s="311"/>
      <c r="AC185" s="311"/>
      <c r="AD185" s="311"/>
    </row>
    <row r="186" spans="1:30" ht="15.75" hidden="1" customHeight="1" x14ac:dyDescent="0.15">
      <c r="A186" s="290"/>
      <c r="B186" s="303"/>
      <c r="C186" s="303"/>
      <c r="D186" s="393" t="s">
        <v>242</v>
      </c>
      <c r="E186" s="394"/>
      <c r="F186" s="395"/>
      <c r="G186" s="402"/>
      <c r="H186" s="402"/>
      <c r="I186" s="310"/>
      <c r="J186" s="396"/>
      <c r="K186" s="397"/>
      <c r="L186" s="398"/>
      <c r="M186" s="398"/>
      <c r="N186" s="399"/>
      <c r="O186" s="400"/>
      <c r="P186" s="398"/>
      <c r="Q186" s="396"/>
      <c r="R186" s="401"/>
      <c r="S186" s="398"/>
      <c r="T186" s="306"/>
      <c r="U186" s="306"/>
      <c r="V186" s="306"/>
      <c r="W186" s="310"/>
      <c r="X186" s="306"/>
      <c r="Y186" s="310"/>
      <c r="Z186" s="306"/>
      <c r="AA186" s="306"/>
      <c r="AB186" s="311"/>
      <c r="AC186" s="311"/>
      <c r="AD186" s="311"/>
    </row>
    <row r="187" spans="1:30" ht="15.75" hidden="1" customHeight="1" x14ac:dyDescent="0.15">
      <c r="A187" s="290"/>
      <c r="B187" s="303"/>
      <c r="C187" s="303"/>
      <c r="D187" s="301" t="s">
        <v>244</v>
      </c>
      <c r="E187" s="302" t="s">
        <v>283</v>
      </c>
      <c r="F187" s="303" t="s">
        <v>243</v>
      </c>
      <c r="G187" s="345" t="s">
        <v>25</v>
      </c>
      <c r="H187" s="345" t="s">
        <v>245</v>
      </c>
      <c r="I187" s="331">
        <f>J187/$J$190</f>
        <v>3.7558782781446455E-2</v>
      </c>
      <c r="J187" s="305">
        <v>2000000</v>
      </c>
      <c r="K187" s="306"/>
      <c r="L187" s="306"/>
      <c r="M187" s="306"/>
      <c r="N187" s="306"/>
      <c r="O187" s="306"/>
      <c r="P187" s="306"/>
      <c r="Q187" s="306"/>
      <c r="R187" s="306"/>
      <c r="S187" s="306"/>
      <c r="T187" s="306"/>
      <c r="U187" s="306"/>
      <c r="V187" s="306"/>
      <c r="W187" s="310"/>
      <c r="X187" s="306"/>
      <c r="Y187" s="310"/>
      <c r="Z187" s="306"/>
      <c r="AA187" s="332">
        <v>1000</v>
      </c>
      <c r="AB187" s="340"/>
      <c r="AC187" s="340">
        <f>AA187*50000</f>
        <v>50000000</v>
      </c>
      <c r="AD187" s="340"/>
    </row>
    <row r="188" spans="1:30" ht="15.75" hidden="1" customHeight="1" x14ac:dyDescent="0.15">
      <c r="A188" s="290"/>
      <c r="B188" s="403"/>
      <c r="C188" s="403"/>
      <c r="D188" s="404" t="s">
        <v>277</v>
      </c>
      <c r="E188" s="302" t="s">
        <v>283</v>
      </c>
      <c r="F188" s="303" t="s">
        <v>210</v>
      </c>
      <c r="G188" s="303" t="s">
        <v>25</v>
      </c>
      <c r="H188" s="303" t="s">
        <v>227</v>
      </c>
      <c r="I188" s="331">
        <f>J188/$J$190</f>
        <v>9.3896956953616148E-2</v>
      </c>
      <c r="J188" s="361">
        <v>5000000</v>
      </c>
      <c r="K188" s="359">
        <v>2</v>
      </c>
      <c r="L188" s="332">
        <f>M188*N188</f>
        <v>1000000</v>
      </c>
      <c r="M188" s="332">
        <v>100</v>
      </c>
      <c r="N188" s="332">
        <v>10000</v>
      </c>
      <c r="O188" s="360">
        <v>0.2</v>
      </c>
      <c r="P188" s="332">
        <f>N188*O188</f>
        <v>2000</v>
      </c>
      <c r="Q188" s="361">
        <f>J188*1000/P188</f>
        <v>2500000</v>
      </c>
      <c r="R188" s="362">
        <v>1.1000000000000001</v>
      </c>
      <c r="S188" s="332">
        <f>P188/R188</f>
        <v>1818.181818181818</v>
      </c>
      <c r="T188" s="306"/>
      <c r="U188" s="306"/>
      <c r="V188" s="306"/>
      <c r="W188" s="310"/>
      <c r="X188" s="306"/>
      <c r="Y188" s="310"/>
      <c r="Z188" s="306"/>
      <c r="AA188" s="332">
        <f>J188*5/70000</f>
        <v>357.14285714285717</v>
      </c>
      <c r="AB188" s="340"/>
      <c r="AC188" s="340">
        <f>AA188*50000</f>
        <v>17857142.857142858</v>
      </c>
      <c r="AD188" s="340"/>
    </row>
    <row r="189" spans="1:30" ht="15.75" hidden="1" customHeight="1" x14ac:dyDescent="0.15">
      <c r="A189" s="290"/>
      <c r="B189" s="403"/>
      <c r="C189" s="403"/>
      <c r="D189" s="405" t="s">
        <v>278</v>
      </c>
      <c r="E189" s="302" t="s">
        <v>283</v>
      </c>
      <c r="F189" s="406" t="s">
        <v>210</v>
      </c>
      <c r="G189" s="406" t="s">
        <v>25</v>
      </c>
      <c r="H189" s="406" t="s">
        <v>279</v>
      </c>
      <c r="I189" s="331">
        <f>J189/$J$190</f>
        <v>0.53051521523191925</v>
      </c>
      <c r="J189" s="407">
        <v>28249862</v>
      </c>
      <c r="K189" s="408"/>
      <c r="L189" s="408"/>
      <c r="M189" s="408"/>
      <c r="N189" s="408"/>
      <c r="O189" s="408"/>
      <c r="P189" s="408"/>
      <c r="Q189" s="408"/>
      <c r="R189" s="408"/>
      <c r="S189" s="408"/>
      <c r="T189" s="306"/>
      <c r="U189" s="306"/>
      <c r="V189" s="306"/>
      <c r="W189" s="310"/>
      <c r="X189" s="306"/>
      <c r="Y189" s="310"/>
      <c r="Z189" s="306"/>
      <c r="AA189" s="409">
        <v>2550</v>
      </c>
      <c r="AB189" s="410"/>
      <c r="AC189" s="410">
        <f>AA189*50000</f>
        <v>127500000</v>
      </c>
      <c r="AD189" s="340"/>
    </row>
    <row r="190" spans="1:30" ht="15.75" hidden="1" customHeight="1" x14ac:dyDescent="0.15">
      <c r="A190" s="290"/>
      <c r="B190" s="313"/>
      <c r="C190" s="313"/>
      <c r="D190" s="314" t="s">
        <v>27</v>
      </c>
      <c r="E190" s="315"/>
      <c r="F190" s="315"/>
      <c r="G190" s="315"/>
      <c r="H190" s="315"/>
      <c r="I190" s="316">
        <f>J190/J190</f>
        <v>1</v>
      </c>
      <c r="J190" s="317">
        <f>SUM(J168:J189)</f>
        <v>53249862</v>
      </c>
      <c r="K190" s="315"/>
      <c r="L190" s="318"/>
      <c r="M190" s="318">
        <f>SUM(M168:M189)</f>
        <v>142</v>
      </c>
      <c r="N190" s="318"/>
      <c r="O190" s="318"/>
      <c r="P190" s="318">
        <f>SUM(P168:P189)</f>
        <v>28995450.292397659</v>
      </c>
      <c r="Q190" s="318">
        <f>J190/P190*1000</f>
        <v>1836.4902584031131</v>
      </c>
      <c r="R190" s="319">
        <f>P190/T190</f>
        <v>5.5000000000000009</v>
      </c>
      <c r="S190" s="318">
        <f>SUM(S168:S189)</f>
        <v>26359500.265816052</v>
      </c>
      <c r="T190" s="318">
        <f>S190/5</f>
        <v>5271900.0531632099</v>
      </c>
      <c r="U190" s="318"/>
      <c r="V190" s="318"/>
      <c r="W190" s="320"/>
      <c r="X190" s="318"/>
      <c r="Y190" s="320"/>
      <c r="Z190" s="318"/>
      <c r="AA190" s="318">
        <f>SUM(AA171:AA189)</f>
        <v>3907.1428571428569</v>
      </c>
      <c r="AB190" s="317"/>
      <c r="AC190" s="317">
        <f>SUM(AC171:AC189)</f>
        <v>195357142.85714287</v>
      </c>
      <c r="AD190" s="317"/>
    </row>
    <row r="191" spans="1:30" ht="15.75" hidden="1" customHeight="1" x14ac:dyDescent="0.15">
      <c r="A191" s="290"/>
      <c r="B191" s="290"/>
      <c r="C191" s="290"/>
      <c r="D191" s="290"/>
      <c r="E191" s="290"/>
      <c r="F191" s="290"/>
      <c r="G191" s="290"/>
      <c r="H191" s="290"/>
      <c r="I191" s="290"/>
      <c r="J191" s="290"/>
      <c r="K191" s="290"/>
      <c r="L191" s="290"/>
      <c r="M191" s="290"/>
      <c r="N191" s="290"/>
      <c r="O191" s="290"/>
      <c r="P191" s="290"/>
      <c r="Q191" s="290"/>
      <c r="R191" s="290"/>
      <c r="S191" s="290"/>
      <c r="T191" s="290"/>
      <c r="U191" s="290"/>
      <c r="V191" s="290"/>
      <c r="W191" s="291"/>
      <c r="X191" s="290"/>
      <c r="Y191" s="291"/>
      <c r="Z191" s="290"/>
      <c r="AA191" s="290"/>
      <c r="AB191" s="292"/>
      <c r="AC191" s="292"/>
      <c r="AD191" s="292"/>
    </row>
    <row r="192" spans="1:30" ht="15.75" hidden="1" customHeight="1" x14ac:dyDescent="0.15">
      <c r="A192" s="290"/>
      <c r="B192" s="390"/>
      <c r="C192" s="390"/>
      <c r="D192" s="295" t="s">
        <v>77</v>
      </c>
      <c r="E192" s="392"/>
      <c r="F192" s="296"/>
      <c r="G192" s="296"/>
      <c r="H192" s="296"/>
      <c r="I192" s="296"/>
      <c r="J192" s="296"/>
      <c r="K192" s="296"/>
      <c r="L192" s="296"/>
      <c r="M192" s="296"/>
      <c r="N192" s="296"/>
      <c r="O192" s="296"/>
      <c r="P192" s="296"/>
      <c r="Q192" s="296"/>
      <c r="R192" s="296"/>
      <c r="S192" s="296"/>
      <c r="T192" s="296"/>
      <c r="U192" s="296"/>
      <c r="V192" s="296"/>
      <c r="W192" s="297"/>
      <c r="X192" s="296"/>
      <c r="Y192" s="297"/>
      <c r="Z192" s="296"/>
      <c r="AA192" s="296"/>
      <c r="AB192" s="298"/>
      <c r="AC192" s="298"/>
      <c r="AD192" s="299"/>
    </row>
    <row r="193" spans="1:30" ht="15.75" hidden="1" customHeight="1" x14ac:dyDescent="0.15">
      <c r="A193" s="290"/>
      <c r="B193" s="303"/>
      <c r="C193" s="303"/>
      <c r="D193" s="301" t="s">
        <v>264</v>
      </c>
      <c r="E193" s="302" t="s">
        <v>284</v>
      </c>
      <c r="F193" s="303" t="s">
        <v>224</v>
      </c>
      <c r="G193" s="303" t="s">
        <v>22</v>
      </c>
      <c r="H193" s="303" t="s">
        <v>227</v>
      </c>
      <c r="I193" s="331">
        <f>J193/$J$215</f>
        <v>2.1864056902869758E-2</v>
      </c>
      <c r="J193" s="305">
        <v>2000000</v>
      </c>
      <c r="K193" s="306"/>
      <c r="L193" s="307"/>
      <c r="M193" s="307"/>
      <c r="N193" s="308"/>
      <c r="O193" s="309"/>
      <c r="P193" s="334">
        <f>J193/Q193*1000</f>
        <v>5263157.8947368423</v>
      </c>
      <c r="Q193" s="305">
        <v>380</v>
      </c>
      <c r="R193" s="333">
        <v>1.1000000000000001</v>
      </c>
      <c r="S193" s="334">
        <f t="shared" ref="S193:S198" si="23">P193/R193</f>
        <v>4784688.9952153107</v>
      </c>
      <c r="T193" s="306"/>
      <c r="U193" s="306"/>
      <c r="V193" s="306"/>
      <c r="W193" s="310"/>
      <c r="X193" s="306"/>
      <c r="Y193" s="310"/>
      <c r="Z193" s="306"/>
      <c r="AA193" s="306"/>
      <c r="AB193" s="311"/>
      <c r="AC193" s="311"/>
      <c r="AD193" s="311"/>
    </row>
    <row r="194" spans="1:30" ht="15.75" hidden="1" customHeight="1" x14ac:dyDescent="0.15">
      <c r="A194" s="290"/>
      <c r="B194" s="303"/>
      <c r="C194" s="303"/>
      <c r="D194" s="301" t="s">
        <v>265</v>
      </c>
      <c r="E194" s="302" t="s">
        <v>284</v>
      </c>
      <c r="F194" s="303" t="s">
        <v>224</v>
      </c>
      <c r="G194" s="303" t="s">
        <v>22</v>
      </c>
      <c r="H194" s="303" t="s">
        <v>48</v>
      </c>
      <c r="I194" s="331">
        <f>J194/$J$215</f>
        <v>2.1864056902869758E-2</v>
      </c>
      <c r="J194" s="305">
        <v>2000000</v>
      </c>
      <c r="K194" s="306"/>
      <c r="L194" s="307"/>
      <c r="M194" s="307"/>
      <c r="N194" s="308"/>
      <c r="O194" s="309"/>
      <c r="P194" s="334">
        <f>J194/Q194*1000</f>
        <v>5263157.8947368423</v>
      </c>
      <c r="Q194" s="305">
        <v>380</v>
      </c>
      <c r="R194" s="333">
        <v>1.1000000000000001</v>
      </c>
      <c r="S194" s="334">
        <f t="shared" si="23"/>
        <v>4784688.9952153107</v>
      </c>
      <c r="T194" s="306"/>
      <c r="U194" s="306"/>
      <c r="V194" s="306"/>
      <c r="W194" s="310"/>
      <c r="X194" s="306"/>
      <c r="Y194" s="310"/>
      <c r="Z194" s="306"/>
      <c r="AA194" s="306"/>
      <c r="AB194" s="311"/>
      <c r="AC194" s="311"/>
      <c r="AD194" s="311"/>
    </row>
    <row r="195" spans="1:30" ht="15.75" hidden="1" customHeight="1" x14ac:dyDescent="0.15">
      <c r="A195" s="290"/>
      <c r="B195" s="303"/>
      <c r="C195" s="303"/>
      <c r="D195" s="301" t="s">
        <v>266</v>
      </c>
      <c r="E195" s="302" t="s">
        <v>284</v>
      </c>
      <c r="F195" s="303" t="s">
        <v>224</v>
      </c>
      <c r="G195" s="303" t="s">
        <v>22</v>
      </c>
      <c r="H195" s="303" t="s">
        <v>65</v>
      </c>
      <c r="I195" s="331">
        <f>J195/$J$215</f>
        <v>2.1864056902869758E-2</v>
      </c>
      <c r="J195" s="305">
        <v>2000000</v>
      </c>
      <c r="K195" s="306"/>
      <c r="L195" s="307"/>
      <c r="M195" s="307"/>
      <c r="N195" s="308"/>
      <c r="O195" s="309"/>
      <c r="P195" s="334">
        <f>J195/Q195*1000</f>
        <v>4444444.444444444</v>
      </c>
      <c r="Q195" s="305">
        <v>450</v>
      </c>
      <c r="R195" s="333">
        <v>1.1000000000000001</v>
      </c>
      <c r="S195" s="334">
        <f t="shared" si="23"/>
        <v>4040404.0404040399</v>
      </c>
      <c r="T195" s="306"/>
      <c r="U195" s="306"/>
      <c r="V195" s="306"/>
      <c r="W195" s="310"/>
      <c r="X195" s="306"/>
      <c r="Y195" s="310"/>
      <c r="Z195" s="306"/>
      <c r="AA195" s="306"/>
      <c r="AB195" s="311"/>
      <c r="AC195" s="311"/>
      <c r="AD195" s="311"/>
    </row>
    <row r="196" spans="1:30" ht="15.75" hidden="1" customHeight="1" x14ac:dyDescent="0.15">
      <c r="A196" s="290"/>
      <c r="B196" s="303"/>
      <c r="C196" s="303"/>
      <c r="D196" s="301" t="s">
        <v>267</v>
      </c>
      <c r="E196" s="302" t="s">
        <v>284</v>
      </c>
      <c r="F196" s="303" t="s">
        <v>224</v>
      </c>
      <c r="G196" s="303" t="s">
        <v>22</v>
      </c>
      <c r="H196" s="303" t="s">
        <v>58</v>
      </c>
      <c r="I196" s="331">
        <f>J196/$J$215</f>
        <v>2.1864056902869758E-2</v>
      </c>
      <c r="J196" s="305">
        <v>2000000</v>
      </c>
      <c r="K196" s="306"/>
      <c r="L196" s="307"/>
      <c r="M196" s="307"/>
      <c r="N196" s="308"/>
      <c r="O196" s="309"/>
      <c r="P196" s="334">
        <f>J196/Q196*1000</f>
        <v>4444444.444444444</v>
      </c>
      <c r="Q196" s="305">
        <v>450</v>
      </c>
      <c r="R196" s="333">
        <v>1.1000000000000001</v>
      </c>
      <c r="S196" s="334">
        <f t="shared" si="23"/>
        <v>4040404.0404040399</v>
      </c>
      <c r="T196" s="306"/>
      <c r="U196" s="306"/>
      <c r="V196" s="306"/>
      <c r="W196" s="310"/>
      <c r="X196" s="306"/>
      <c r="Y196" s="310"/>
      <c r="Z196" s="306"/>
      <c r="AA196" s="306"/>
      <c r="AB196" s="311"/>
      <c r="AC196" s="311"/>
      <c r="AD196" s="311"/>
    </row>
    <row r="197" spans="1:30" ht="15.75" hidden="1" customHeight="1" x14ac:dyDescent="0.15">
      <c r="A197" s="290"/>
      <c r="B197" s="303"/>
      <c r="C197" s="303"/>
      <c r="D197" s="301" t="s">
        <v>268</v>
      </c>
      <c r="E197" s="302" t="s">
        <v>284</v>
      </c>
      <c r="F197" s="303" t="s">
        <v>237</v>
      </c>
      <c r="G197" s="303" t="s">
        <v>19</v>
      </c>
      <c r="H197" s="303" t="s">
        <v>65</v>
      </c>
      <c r="I197" s="331">
        <f>J197/$J$165</f>
        <v>4.7726999273260982E-2</v>
      </c>
      <c r="J197" s="305">
        <v>2000000</v>
      </c>
      <c r="K197" s="346">
        <v>5</v>
      </c>
      <c r="L197" s="334">
        <f>J197/K197</f>
        <v>400000</v>
      </c>
      <c r="M197" s="334">
        <v>2</v>
      </c>
      <c r="N197" s="347">
        <f>L197/M197</f>
        <v>200000</v>
      </c>
      <c r="O197" s="348">
        <v>0.2</v>
      </c>
      <c r="P197" s="334">
        <f>L197*O197</f>
        <v>80000</v>
      </c>
      <c r="Q197" s="305">
        <f>J197*1000/P197</f>
        <v>25000</v>
      </c>
      <c r="R197" s="333">
        <v>1.1000000000000001</v>
      </c>
      <c r="S197" s="334">
        <f t="shared" si="23"/>
        <v>72727.272727272721</v>
      </c>
      <c r="T197" s="306"/>
      <c r="U197" s="306"/>
      <c r="V197" s="306"/>
      <c r="W197" s="310"/>
      <c r="X197" s="306"/>
      <c r="Y197" s="310"/>
      <c r="Z197" s="306"/>
      <c r="AA197" s="306"/>
      <c r="AB197" s="311"/>
      <c r="AC197" s="311"/>
      <c r="AD197" s="311"/>
    </row>
    <row r="198" spans="1:30" ht="15.75" hidden="1" customHeight="1" x14ac:dyDescent="0.15">
      <c r="A198" s="290"/>
      <c r="B198" s="303"/>
      <c r="C198" s="303"/>
      <c r="D198" s="301" t="s">
        <v>233</v>
      </c>
      <c r="E198" s="302" t="s">
        <v>284</v>
      </c>
      <c r="F198" s="303" t="s">
        <v>237</v>
      </c>
      <c r="G198" s="303" t="s">
        <v>22</v>
      </c>
      <c r="H198" s="303" t="s">
        <v>65</v>
      </c>
      <c r="I198" s="331">
        <f>J198/$J$215</f>
        <v>1.6398042677152318E-2</v>
      </c>
      <c r="J198" s="305">
        <v>1500000</v>
      </c>
      <c r="K198" s="306"/>
      <c r="L198" s="307"/>
      <c r="M198" s="307"/>
      <c r="N198" s="308"/>
      <c r="O198" s="309"/>
      <c r="P198" s="334">
        <f>J198/Q198*1000</f>
        <v>3333333.3333333335</v>
      </c>
      <c r="Q198" s="305">
        <v>450</v>
      </c>
      <c r="R198" s="333">
        <v>1.1000000000000001</v>
      </c>
      <c r="S198" s="334">
        <f t="shared" si="23"/>
        <v>3030303.0303030303</v>
      </c>
      <c r="T198" s="306"/>
      <c r="U198" s="306"/>
      <c r="V198" s="306"/>
      <c r="W198" s="310"/>
      <c r="X198" s="306"/>
      <c r="Y198" s="310"/>
      <c r="Z198" s="306"/>
      <c r="AA198" s="306"/>
      <c r="AB198" s="311"/>
      <c r="AC198" s="311"/>
      <c r="AD198" s="311"/>
    </row>
    <row r="199" spans="1:30" ht="15.75" hidden="1" customHeight="1" x14ac:dyDescent="0.15">
      <c r="A199" s="290"/>
      <c r="B199" s="303"/>
      <c r="C199" s="303"/>
      <c r="D199" s="393" t="s">
        <v>269</v>
      </c>
      <c r="E199" s="394"/>
      <c r="F199" s="395"/>
      <c r="G199" s="395"/>
      <c r="H199" s="395"/>
      <c r="I199" s="310"/>
      <c r="J199" s="396"/>
      <c r="K199" s="397"/>
      <c r="L199" s="398"/>
      <c r="M199" s="398"/>
      <c r="N199" s="399"/>
      <c r="O199" s="400"/>
      <c r="P199" s="398"/>
      <c r="Q199" s="396"/>
      <c r="R199" s="401"/>
      <c r="S199" s="398"/>
      <c r="T199" s="306"/>
      <c r="U199" s="306"/>
      <c r="V199" s="306"/>
      <c r="W199" s="310"/>
      <c r="X199" s="306"/>
      <c r="Y199" s="310"/>
      <c r="Z199" s="306"/>
      <c r="AA199" s="306"/>
      <c r="AB199" s="311"/>
      <c r="AC199" s="311"/>
      <c r="AD199" s="311"/>
    </row>
    <row r="200" spans="1:30" ht="15.75" hidden="1" customHeight="1" x14ac:dyDescent="0.15">
      <c r="A200" s="290"/>
      <c r="B200" s="303"/>
      <c r="C200" s="303"/>
      <c r="D200" s="393" t="s">
        <v>270</v>
      </c>
      <c r="E200" s="394"/>
      <c r="F200" s="395"/>
      <c r="G200" s="395"/>
      <c r="H200" s="395"/>
      <c r="I200" s="310"/>
      <c r="J200" s="396"/>
      <c r="K200" s="306"/>
      <c r="L200" s="307"/>
      <c r="M200" s="307"/>
      <c r="N200" s="308"/>
      <c r="O200" s="309"/>
      <c r="P200" s="398"/>
      <c r="Q200" s="396"/>
      <c r="R200" s="401"/>
      <c r="S200" s="398"/>
      <c r="T200" s="306"/>
      <c r="U200" s="306"/>
      <c r="V200" s="306"/>
      <c r="W200" s="310"/>
      <c r="X200" s="306"/>
      <c r="Y200" s="310"/>
      <c r="Z200" s="306"/>
      <c r="AA200" s="306"/>
      <c r="AB200" s="311"/>
      <c r="AC200" s="311"/>
      <c r="AD200" s="311"/>
    </row>
    <row r="201" spans="1:30" ht="15.75" hidden="1" customHeight="1" x14ac:dyDescent="0.15">
      <c r="A201" s="290"/>
      <c r="B201" s="303"/>
      <c r="C201" s="303"/>
      <c r="D201" s="393" t="s">
        <v>271</v>
      </c>
      <c r="E201" s="394"/>
      <c r="F201" s="395"/>
      <c r="G201" s="395"/>
      <c r="H201" s="395"/>
      <c r="I201" s="310"/>
      <c r="J201" s="396"/>
      <c r="K201" s="397"/>
      <c r="L201" s="398"/>
      <c r="M201" s="398"/>
      <c r="N201" s="399"/>
      <c r="O201" s="400"/>
      <c r="P201" s="398"/>
      <c r="Q201" s="396"/>
      <c r="R201" s="401"/>
      <c r="S201" s="398"/>
      <c r="T201" s="306"/>
      <c r="U201" s="306"/>
      <c r="V201" s="306"/>
      <c r="W201" s="310"/>
      <c r="X201" s="306"/>
      <c r="Y201" s="310"/>
      <c r="Z201" s="306"/>
      <c r="AA201" s="306"/>
      <c r="AB201" s="311"/>
      <c r="AC201" s="311"/>
      <c r="AD201" s="311"/>
    </row>
    <row r="202" spans="1:30" ht="15.75" hidden="1" customHeight="1" x14ac:dyDescent="0.15">
      <c r="A202" s="290"/>
      <c r="B202" s="303"/>
      <c r="C202" s="303"/>
      <c r="D202" s="393" t="s">
        <v>272</v>
      </c>
      <c r="E202" s="394"/>
      <c r="F202" s="395"/>
      <c r="G202" s="395"/>
      <c r="H202" s="395"/>
      <c r="I202" s="310"/>
      <c r="J202" s="396"/>
      <c r="K202" s="306"/>
      <c r="L202" s="307"/>
      <c r="M202" s="307"/>
      <c r="N202" s="308"/>
      <c r="O202" s="309"/>
      <c r="P202" s="398"/>
      <c r="Q202" s="396"/>
      <c r="R202" s="401"/>
      <c r="S202" s="398"/>
      <c r="T202" s="306"/>
      <c r="U202" s="306"/>
      <c r="V202" s="306"/>
      <c r="W202" s="310"/>
      <c r="X202" s="306"/>
      <c r="Y202" s="310"/>
      <c r="Z202" s="306"/>
      <c r="AA202" s="306"/>
      <c r="AB202" s="311"/>
      <c r="AC202" s="311"/>
      <c r="AD202" s="311"/>
    </row>
    <row r="203" spans="1:30" ht="15.75" hidden="1" customHeight="1" x14ac:dyDescent="0.15">
      <c r="A203" s="290"/>
      <c r="B203" s="303"/>
      <c r="C203" s="303"/>
      <c r="D203" s="393" t="s">
        <v>273</v>
      </c>
      <c r="E203" s="394"/>
      <c r="F203" s="395"/>
      <c r="G203" s="402"/>
      <c r="H203" s="402"/>
      <c r="I203" s="310"/>
      <c r="J203" s="396"/>
      <c r="K203" s="397"/>
      <c r="L203" s="398"/>
      <c r="M203" s="398"/>
      <c r="N203" s="399"/>
      <c r="O203" s="400"/>
      <c r="P203" s="398"/>
      <c r="Q203" s="396"/>
      <c r="R203" s="401"/>
      <c r="S203" s="398"/>
      <c r="T203" s="306"/>
      <c r="U203" s="306"/>
      <c r="V203" s="306"/>
      <c r="W203" s="310"/>
      <c r="X203" s="306"/>
      <c r="Y203" s="310"/>
      <c r="Z203" s="306"/>
      <c r="AA203" s="306"/>
      <c r="AB203" s="311"/>
      <c r="AC203" s="311"/>
      <c r="AD203" s="311"/>
    </row>
    <row r="204" spans="1:30" ht="15.75" hidden="1" customHeight="1" x14ac:dyDescent="0.15">
      <c r="A204" s="290"/>
      <c r="B204" s="303"/>
      <c r="C204" s="303"/>
      <c r="D204" s="393" t="s">
        <v>274</v>
      </c>
      <c r="E204" s="394"/>
      <c r="F204" s="395"/>
      <c r="G204" s="402"/>
      <c r="H204" s="402"/>
      <c r="I204" s="310"/>
      <c r="J204" s="396"/>
      <c r="K204" s="306"/>
      <c r="L204" s="307"/>
      <c r="M204" s="307"/>
      <c r="N204" s="308"/>
      <c r="O204" s="309"/>
      <c r="P204" s="398"/>
      <c r="Q204" s="396"/>
      <c r="R204" s="401"/>
      <c r="S204" s="398"/>
      <c r="T204" s="306"/>
      <c r="U204" s="306"/>
      <c r="V204" s="306"/>
      <c r="W204" s="310"/>
      <c r="X204" s="306"/>
      <c r="Y204" s="310"/>
      <c r="Z204" s="306"/>
      <c r="AA204" s="306"/>
      <c r="AB204" s="311"/>
      <c r="AC204" s="311"/>
      <c r="AD204" s="311"/>
    </row>
    <row r="205" spans="1:30" ht="15.75" hidden="1" customHeight="1" x14ac:dyDescent="0.15">
      <c r="A205" s="290"/>
      <c r="B205" s="303"/>
      <c r="C205" s="303"/>
      <c r="D205" s="301" t="s">
        <v>241</v>
      </c>
      <c r="E205" s="302" t="s">
        <v>284</v>
      </c>
      <c r="F205" s="303" t="s">
        <v>240</v>
      </c>
      <c r="G205" s="345" t="s">
        <v>19</v>
      </c>
      <c r="H205" s="345" t="s">
        <v>48</v>
      </c>
      <c r="I205" s="331">
        <f>J205/$J$215</f>
        <v>2.1864056902869758E-2</v>
      </c>
      <c r="J205" s="305">
        <v>2000000</v>
      </c>
      <c r="K205" s="346">
        <v>4</v>
      </c>
      <c r="L205" s="334">
        <f>J205/K205</f>
        <v>500000</v>
      </c>
      <c r="M205" s="334">
        <v>10</v>
      </c>
      <c r="N205" s="347">
        <f>L205/M205</f>
        <v>50000</v>
      </c>
      <c r="O205" s="348">
        <v>0.2</v>
      </c>
      <c r="P205" s="334">
        <f>L205*O205</f>
        <v>100000</v>
      </c>
      <c r="Q205" s="305">
        <f>J205*1000/P205</f>
        <v>20000</v>
      </c>
      <c r="R205" s="333">
        <v>1.1000000000000001</v>
      </c>
      <c r="S205" s="334">
        <f>P205/R205</f>
        <v>90909.090909090897</v>
      </c>
      <c r="T205" s="306"/>
      <c r="U205" s="306"/>
      <c r="V205" s="306"/>
      <c r="W205" s="310"/>
      <c r="X205" s="306"/>
      <c r="Y205" s="310"/>
      <c r="Z205" s="306"/>
      <c r="AA205" s="306"/>
      <c r="AB205" s="311"/>
      <c r="AC205" s="311"/>
      <c r="AD205" s="311"/>
    </row>
    <row r="206" spans="1:30" ht="15.75" hidden="1" customHeight="1" x14ac:dyDescent="0.15">
      <c r="A206" s="290"/>
      <c r="B206" s="303"/>
      <c r="C206" s="303"/>
      <c r="D206" s="301" t="s">
        <v>235</v>
      </c>
      <c r="E206" s="302" t="s">
        <v>284</v>
      </c>
      <c r="F206" s="303" t="s">
        <v>240</v>
      </c>
      <c r="G206" s="345" t="s">
        <v>22</v>
      </c>
      <c r="H206" s="345" t="s">
        <v>48</v>
      </c>
      <c r="I206" s="331">
        <f>J206/$J$215</f>
        <v>5.4660142257174395E-3</v>
      </c>
      <c r="J206" s="305">
        <v>500000</v>
      </c>
      <c r="K206" s="306"/>
      <c r="L206" s="307"/>
      <c r="M206" s="307"/>
      <c r="N206" s="308"/>
      <c r="O206" s="309"/>
      <c r="P206" s="334">
        <f>J206/Q206*1000</f>
        <v>1315789.4736842106</v>
      </c>
      <c r="Q206" s="305">
        <v>380</v>
      </c>
      <c r="R206" s="333">
        <v>1.1000000000000001</v>
      </c>
      <c r="S206" s="334">
        <f>P206/R206</f>
        <v>1196172.2488038277</v>
      </c>
      <c r="T206" s="306"/>
      <c r="U206" s="306"/>
      <c r="V206" s="306"/>
      <c r="W206" s="310"/>
      <c r="X206" s="306"/>
      <c r="Y206" s="310"/>
      <c r="Z206" s="306"/>
      <c r="AA206" s="306"/>
      <c r="AB206" s="311"/>
      <c r="AC206" s="311"/>
      <c r="AD206" s="311"/>
    </row>
    <row r="207" spans="1:30" ht="15.75" hidden="1" customHeight="1" x14ac:dyDescent="0.15">
      <c r="A207" s="290"/>
      <c r="B207" s="303"/>
      <c r="C207" s="303"/>
      <c r="D207" s="301" t="s">
        <v>239</v>
      </c>
      <c r="E207" s="302" t="s">
        <v>284</v>
      </c>
      <c r="F207" s="303" t="s">
        <v>240</v>
      </c>
      <c r="G207" s="345" t="s">
        <v>19</v>
      </c>
      <c r="H207" s="345" t="s">
        <v>227</v>
      </c>
      <c r="I207" s="331">
        <f>J207/$J$215</f>
        <v>2.1864056902869758E-2</v>
      </c>
      <c r="J207" s="305">
        <v>2000000</v>
      </c>
      <c r="K207" s="346">
        <v>4</v>
      </c>
      <c r="L207" s="334">
        <f>J207/K207</f>
        <v>500000</v>
      </c>
      <c r="M207" s="334">
        <v>30</v>
      </c>
      <c r="N207" s="347">
        <f>L207/M207</f>
        <v>16666.666666666668</v>
      </c>
      <c r="O207" s="348">
        <v>0.2</v>
      </c>
      <c r="P207" s="334">
        <f>L207*O207</f>
        <v>100000</v>
      </c>
      <c r="Q207" s="305">
        <f>J207*1000/P207</f>
        <v>20000</v>
      </c>
      <c r="R207" s="333">
        <v>1.1000000000000001</v>
      </c>
      <c r="S207" s="334">
        <f>P207/R207</f>
        <v>90909.090909090897</v>
      </c>
      <c r="T207" s="306"/>
      <c r="U207" s="306"/>
      <c r="V207" s="306"/>
      <c r="W207" s="310"/>
      <c r="X207" s="306"/>
      <c r="Y207" s="310"/>
      <c r="Z207" s="306"/>
      <c r="AA207" s="306"/>
      <c r="AB207" s="311"/>
      <c r="AC207" s="311"/>
      <c r="AD207" s="311"/>
    </row>
    <row r="208" spans="1:30" ht="15.75" hidden="1" customHeight="1" x14ac:dyDescent="0.15">
      <c r="A208" s="290"/>
      <c r="B208" s="303"/>
      <c r="C208" s="303"/>
      <c r="D208" s="301" t="s">
        <v>234</v>
      </c>
      <c r="E208" s="302" t="s">
        <v>284</v>
      </c>
      <c r="F208" s="303" t="s">
        <v>240</v>
      </c>
      <c r="G208" s="345" t="s">
        <v>22</v>
      </c>
      <c r="H208" s="345" t="s">
        <v>227</v>
      </c>
      <c r="I208" s="331">
        <f>J208/$J$215</f>
        <v>5.4660142257174395E-3</v>
      </c>
      <c r="J208" s="305">
        <v>500000</v>
      </c>
      <c r="K208" s="306"/>
      <c r="L208" s="307"/>
      <c r="M208" s="307"/>
      <c r="N208" s="308"/>
      <c r="O208" s="309"/>
      <c r="P208" s="334">
        <f>J208/Q208*1000</f>
        <v>1315789.4736842106</v>
      </c>
      <c r="Q208" s="305">
        <v>380</v>
      </c>
      <c r="R208" s="333">
        <v>1.1000000000000001</v>
      </c>
      <c r="S208" s="334">
        <f>P208/R208</f>
        <v>1196172.2488038277</v>
      </c>
      <c r="T208" s="306"/>
      <c r="U208" s="306"/>
      <c r="V208" s="306"/>
      <c r="W208" s="310"/>
      <c r="X208" s="306"/>
      <c r="Y208" s="310"/>
      <c r="Z208" s="306"/>
      <c r="AA208" s="306"/>
      <c r="AB208" s="311"/>
      <c r="AC208" s="311"/>
      <c r="AD208" s="311"/>
    </row>
    <row r="209" spans="1:30" ht="15.75" hidden="1" customHeight="1" x14ac:dyDescent="0.15">
      <c r="A209" s="290"/>
      <c r="B209" s="303"/>
      <c r="C209" s="303"/>
      <c r="D209" s="393" t="s">
        <v>275</v>
      </c>
      <c r="E209" s="394"/>
      <c r="F209" s="395"/>
      <c r="G209" s="402"/>
      <c r="H209" s="402"/>
      <c r="I209" s="310"/>
      <c r="J209" s="396"/>
      <c r="K209" s="397"/>
      <c r="L209" s="398"/>
      <c r="M209" s="398"/>
      <c r="N209" s="399"/>
      <c r="O209" s="400"/>
      <c r="P209" s="398"/>
      <c r="Q209" s="396"/>
      <c r="R209" s="401"/>
      <c r="S209" s="398"/>
      <c r="T209" s="306"/>
      <c r="U209" s="306"/>
      <c r="V209" s="306"/>
      <c r="W209" s="310"/>
      <c r="X209" s="306"/>
      <c r="Y209" s="310"/>
      <c r="Z209" s="306"/>
      <c r="AA209" s="306"/>
      <c r="AB209" s="311"/>
      <c r="AC209" s="311"/>
      <c r="AD209" s="311"/>
    </row>
    <row r="210" spans="1:30" ht="15.75" hidden="1" customHeight="1" x14ac:dyDescent="0.15">
      <c r="A210" s="290"/>
      <c r="B210" s="303"/>
      <c r="C210" s="303"/>
      <c r="D210" s="393" t="s">
        <v>276</v>
      </c>
      <c r="E210" s="394"/>
      <c r="F210" s="395"/>
      <c r="G210" s="402"/>
      <c r="H210" s="402"/>
      <c r="I210" s="310"/>
      <c r="J210" s="396"/>
      <c r="K210" s="306"/>
      <c r="L210" s="307"/>
      <c r="M210" s="307"/>
      <c r="N210" s="308"/>
      <c r="O210" s="309"/>
      <c r="P210" s="398"/>
      <c r="Q210" s="396"/>
      <c r="R210" s="401"/>
      <c r="S210" s="398"/>
      <c r="T210" s="306"/>
      <c r="U210" s="306"/>
      <c r="V210" s="306"/>
      <c r="W210" s="310"/>
      <c r="X210" s="306"/>
      <c r="Y210" s="310"/>
      <c r="Z210" s="306"/>
      <c r="AA210" s="306"/>
      <c r="AB210" s="311"/>
      <c r="AC210" s="311"/>
      <c r="AD210" s="311"/>
    </row>
    <row r="211" spans="1:30" ht="15.75" hidden="1" customHeight="1" x14ac:dyDescent="0.15">
      <c r="A211" s="290"/>
      <c r="B211" s="303"/>
      <c r="C211" s="303"/>
      <c r="D211" s="301" t="s">
        <v>242</v>
      </c>
      <c r="E211" s="302" t="s">
        <v>284</v>
      </c>
      <c r="F211" s="303" t="s">
        <v>243</v>
      </c>
      <c r="G211" s="345" t="s">
        <v>25</v>
      </c>
      <c r="H211" s="345" t="s">
        <v>227</v>
      </c>
      <c r="I211" s="331">
        <f>J211/$J$215</f>
        <v>2.1864056902869758E-2</v>
      </c>
      <c r="J211" s="305">
        <v>2000000</v>
      </c>
      <c r="K211" s="346">
        <v>4</v>
      </c>
      <c r="L211" s="334">
        <f>J211/K211</f>
        <v>500000</v>
      </c>
      <c r="M211" s="334">
        <f>L211/N211</f>
        <v>1.25</v>
      </c>
      <c r="N211" s="347">
        <v>400000</v>
      </c>
      <c r="O211" s="348">
        <v>0.6</v>
      </c>
      <c r="P211" s="334">
        <f>N211*O211</f>
        <v>240000</v>
      </c>
      <c r="Q211" s="305">
        <f>J211*1000/P211</f>
        <v>8333.3333333333339</v>
      </c>
      <c r="R211" s="333">
        <v>1.1000000000000001</v>
      </c>
      <c r="S211" s="334">
        <f>P211/R211</f>
        <v>218181.81818181818</v>
      </c>
      <c r="T211" s="306"/>
      <c r="U211" s="306"/>
      <c r="V211" s="306"/>
      <c r="W211" s="310"/>
      <c r="X211" s="306"/>
      <c r="Y211" s="310"/>
      <c r="Z211" s="306"/>
      <c r="AA211" s="306"/>
      <c r="AB211" s="311"/>
      <c r="AC211" s="311"/>
      <c r="AD211" s="311"/>
    </row>
    <row r="212" spans="1:30" ht="15.75" hidden="1" customHeight="1" x14ac:dyDescent="0.15">
      <c r="A212" s="290"/>
      <c r="B212" s="303"/>
      <c r="C212" s="303"/>
      <c r="D212" s="301" t="s">
        <v>244</v>
      </c>
      <c r="E212" s="302" t="s">
        <v>284</v>
      </c>
      <c r="F212" s="303" t="s">
        <v>243</v>
      </c>
      <c r="G212" s="345" t="s">
        <v>25</v>
      </c>
      <c r="H212" s="345" t="s">
        <v>245</v>
      </c>
      <c r="I212" s="331">
        <f>J212/$J$215</f>
        <v>1.0932028451434879E-2</v>
      </c>
      <c r="J212" s="305">
        <v>1000000</v>
      </c>
      <c r="K212" s="306"/>
      <c r="L212" s="306"/>
      <c r="M212" s="306"/>
      <c r="N212" s="306"/>
      <c r="O212" s="306"/>
      <c r="P212" s="306"/>
      <c r="Q212" s="306"/>
      <c r="R212" s="306"/>
      <c r="S212" s="306"/>
      <c r="T212" s="306"/>
      <c r="U212" s="306"/>
      <c r="V212" s="306"/>
      <c r="W212" s="310"/>
      <c r="X212" s="306"/>
      <c r="Y212" s="310"/>
      <c r="Z212" s="306"/>
      <c r="AA212" s="332">
        <v>1000</v>
      </c>
      <c r="AB212" s="340"/>
      <c r="AC212" s="340">
        <f>AA212*50000</f>
        <v>50000000</v>
      </c>
      <c r="AD212" s="340"/>
    </row>
    <row r="213" spans="1:30" ht="15.75" hidden="1" customHeight="1" x14ac:dyDescent="0.15">
      <c r="A213" s="290"/>
      <c r="B213" s="403"/>
      <c r="C213" s="403"/>
      <c r="D213" s="404" t="s">
        <v>277</v>
      </c>
      <c r="E213" s="302" t="s">
        <v>284</v>
      </c>
      <c r="F213" s="303" t="s">
        <v>210</v>
      </c>
      <c r="G213" s="303" t="s">
        <v>25</v>
      </c>
      <c r="H213" s="303" t="s">
        <v>227</v>
      </c>
      <c r="I213" s="331">
        <f>J213/$J$215</f>
        <v>5.4660142257174395E-2</v>
      </c>
      <c r="J213" s="361">
        <v>5000000</v>
      </c>
      <c r="K213" s="359">
        <v>2</v>
      </c>
      <c r="L213" s="332">
        <f>M213*N213</f>
        <v>1000000</v>
      </c>
      <c r="M213" s="332">
        <v>100</v>
      </c>
      <c r="N213" s="332">
        <v>10000</v>
      </c>
      <c r="O213" s="360">
        <v>0.2</v>
      </c>
      <c r="P213" s="332">
        <f>N213*O213</f>
        <v>2000</v>
      </c>
      <c r="Q213" s="361">
        <f>J213*1000/P213</f>
        <v>2500000</v>
      </c>
      <c r="R213" s="362">
        <v>1.1000000000000001</v>
      </c>
      <c r="S213" s="332">
        <f>P213/R213</f>
        <v>1818.181818181818</v>
      </c>
      <c r="T213" s="306"/>
      <c r="U213" s="306"/>
      <c r="V213" s="306"/>
      <c r="W213" s="310"/>
      <c r="X213" s="306"/>
      <c r="Y213" s="310"/>
      <c r="Z213" s="306"/>
      <c r="AA213" s="332">
        <f>J213*5/70000</f>
        <v>357.14285714285717</v>
      </c>
      <c r="AB213" s="340"/>
      <c r="AC213" s="340">
        <f>AA213*50000</f>
        <v>17857142.857142858</v>
      </c>
      <c r="AD213" s="340"/>
    </row>
    <row r="214" spans="1:30" ht="15.75" hidden="1" customHeight="1" x14ac:dyDescent="0.15">
      <c r="A214" s="290"/>
      <c r="B214" s="403"/>
      <c r="C214" s="403"/>
      <c r="D214" s="405" t="s">
        <v>278</v>
      </c>
      <c r="E214" s="302" t="s">
        <v>284</v>
      </c>
      <c r="F214" s="406" t="s">
        <v>210</v>
      </c>
      <c r="G214" s="406" t="s">
        <v>25</v>
      </c>
      <c r="H214" s="406" t="s">
        <v>279</v>
      </c>
      <c r="I214" s="331">
        <f>J214/$J$215</f>
        <v>0.7321653029398455</v>
      </c>
      <c r="J214" s="407">
        <v>66974332</v>
      </c>
      <c r="K214" s="408"/>
      <c r="L214" s="408"/>
      <c r="M214" s="408"/>
      <c r="N214" s="408"/>
      <c r="O214" s="408"/>
      <c r="P214" s="408"/>
      <c r="Q214" s="408"/>
      <c r="R214" s="408"/>
      <c r="S214" s="408"/>
      <c r="T214" s="306"/>
      <c r="U214" s="306"/>
      <c r="V214" s="306"/>
      <c r="W214" s="310"/>
      <c r="X214" s="306"/>
      <c r="Y214" s="310"/>
      <c r="Z214" s="306"/>
      <c r="AA214" s="409">
        <v>5125</v>
      </c>
      <c r="AB214" s="410"/>
      <c r="AC214" s="410">
        <f>AA214*50000</f>
        <v>256250000</v>
      </c>
      <c r="AD214" s="340"/>
    </row>
    <row r="215" spans="1:30" ht="15.75" hidden="1" customHeight="1" x14ac:dyDescent="0.15">
      <c r="A215" s="290"/>
      <c r="B215" s="313"/>
      <c r="C215" s="313"/>
      <c r="D215" s="314" t="s">
        <v>27</v>
      </c>
      <c r="E215" s="315"/>
      <c r="F215" s="315"/>
      <c r="G215" s="315"/>
      <c r="H215" s="315"/>
      <c r="I215" s="316">
        <f>J215/J215</f>
        <v>1</v>
      </c>
      <c r="J215" s="317">
        <f>SUM(J193:J214)</f>
        <v>91474332</v>
      </c>
      <c r="K215" s="315"/>
      <c r="L215" s="318"/>
      <c r="M215" s="318">
        <f>SUM(M193:M214)</f>
        <v>143.25</v>
      </c>
      <c r="N215" s="318"/>
      <c r="O215" s="318"/>
      <c r="P215" s="318">
        <f>SUM(P193:P214)</f>
        <v>25902116.959064323</v>
      </c>
      <c r="Q215" s="318">
        <f>J215/P215*1000</f>
        <v>3531.5388369439429</v>
      </c>
      <c r="R215" s="319">
        <f>P215/T215</f>
        <v>5.5</v>
      </c>
      <c r="S215" s="318">
        <f>SUM(S193:S214)</f>
        <v>23547379.053694841</v>
      </c>
      <c r="T215" s="318">
        <f>S215/5</f>
        <v>4709475.8107389677</v>
      </c>
      <c r="U215" s="318"/>
      <c r="V215" s="318"/>
      <c r="W215" s="320"/>
      <c r="X215" s="318"/>
      <c r="Y215" s="320"/>
      <c r="Z215" s="318"/>
      <c r="AA215" s="318">
        <f>SUM(AA196:AA214)</f>
        <v>6482.1428571428569</v>
      </c>
      <c r="AB215" s="317"/>
      <c r="AC215" s="317">
        <f>SUM(AC196:AC214)</f>
        <v>324107142.85714287</v>
      </c>
      <c r="AD215" s="317"/>
    </row>
    <row r="216" spans="1:30" ht="15.75" hidden="1" customHeight="1" x14ac:dyDescent="0.15">
      <c r="A216" s="290"/>
      <c r="B216" s="290"/>
      <c r="C216" s="290"/>
      <c r="D216" s="290"/>
      <c r="E216" s="290"/>
      <c r="F216" s="290"/>
      <c r="G216" s="290"/>
      <c r="H216" s="290"/>
      <c r="I216" s="290"/>
      <c r="J216" s="290"/>
      <c r="K216" s="290"/>
      <c r="L216" s="290"/>
      <c r="M216" s="290"/>
      <c r="N216" s="290"/>
      <c r="O216" s="290"/>
      <c r="P216" s="290"/>
      <c r="Q216" s="290"/>
      <c r="R216" s="290"/>
      <c r="S216" s="290"/>
      <c r="T216" s="290"/>
      <c r="U216" s="290"/>
      <c r="V216" s="290"/>
      <c r="W216" s="291"/>
      <c r="X216" s="290"/>
      <c r="Y216" s="291"/>
      <c r="Z216" s="290"/>
      <c r="AA216" s="290"/>
      <c r="AB216" s="292"/>
      <c r="AC216" s="292"/>
      <c r="AD216" s="292"/>
    </row>
    <row r="217" spans="1:30" ht="15.75" hidden="1" customHeight="1" x14ac:dyDescent="0.15">
      <c r="A217" s="290"/>
      <c r="B217" s="390"/>
      <c r="C217" s="390"/>
      <c r="D217" s="295" t="s">
        <v>151</v>
      </c>
      <c r="E217" s="392"/>
      <c r="F217" s="296"/>
      <c r="G217" s="296"/>
      <c r="H217" s="296"/>
      <c r="I217" s="296"/>
      <c r="J217" s="296"/>
      <c r="K217" s="296"/>
      <c r="L217" s="296"/>
      <c r="M217" s="296"/>
      <c r="N217" s="296"/>
      <c r="O217" s="296"/>
      <c r="P217" s="296"/>
      <c r="Q217" s="296"/>
      <c r="R217" s="296"/>
      <c r="S217" s="296"/>
      <c r="T217" s="296"/>
      <c r="U217" s="296"/>
      <c r="V217" s="296"/>
      <c r="W217" s="297"/>
      <c r="X217" s="296"/>
      <c r="Y217" s="297"/>
      <c r="Z217" s="296"/>
      <c r="AA217" s="296"/>
      <c r="AB217" s="298"/>
      <c r="AC217" s="298"/>
      <c r="AD217" s="299"/>
    </row>
    <row r="218" spans="1:30" ht="15.75" hidden="1" customHeight="1" x14ac:dyDescent="0.15">
      <c r="A218" s="290"/>
      <c r="B218" s="303"/>
      <c r="C218" s="303"/>
      <c r="D218" s="301" t="s">
        <v>264</v>
      </c>
      <c r="E218" s="302" t="s">
        <v>285</v>
      </c>
      <c r="F218" s="303" t="s">
        <v>224</v>
      </c>
      <c r="G218" s="303" t="s">
        <v>22</v>
      </c>
      <c r="H218" s="303" t="s">
        <v>227</v>
      </c>
      <c r="I218" s="331">
        <f>J218/$J$240</f>
        <v>3.3779164254834342E-2</v>
      </c>
      <c r="J218" s="305">
        <v>2000000</v>
      </c>
      <c r="K218" s="306"/>
      <c r="L218" s="307"/>
      <c r="M218" s="307"/>
      <c r="N218" s="308"/>
      <c r="O218" s="309"/>
      <c r="P218" s="334">
        <f>J218/Q218*1000</f>
        <v>5263157.8947368423</v>
      </c>
      <c r="Q218" s="305">
        <v>380</v>
      </c>
      <c r="R218" s="333">
        <v>1.1000000000000001</v>
      </c>
      <c r="S218" s="334">
        <f>P218/R218</f>
        <v>4784688.9952153107</v>
      </c>
      <c r="T218" s="306"/>
      <c r="U218" s="306"/>
      <c r="V218" s="306"/>
      <c r="W218" s="310"/>
      <c r="X218" s="306"/>
      <c r="Y218" s="310"/>
      <c r="Z218" s="306"/>
      <c r="AA218" s="306"/>
      <c r="AB218" s="311"/>
      <c r="AC218" s="311"/>
      <c r="AD218" s="311"/>
    </row>
    <row r="219" spans="1:30" ht="15.75" hidden="1" customHeight="1" x14ac:dyDescent="0.15">
      <c r="A219" s="290"/>
      <c r="B219" s="303"/>
      <c r="C219" s="303"/>
      <c r="D219" s="301" t="s">
        <v>265</v>
      </c>
      <c r="E219" s="302" t="s">
        <v>285</v>
      </c>
      <c r="F219" s="303" t="s">
        <v>224</v>
      </c>
      <c r="G219" s="303" t="s">
        <v>22</v>
      </c>
      <c r="H219" s="303" t="s">
        <v>48</v>
      </c>
      <c r="I219" s="331">
        <f>J219/$J$240</f>
        <v>3.3779164254834342E-2</v>
      </c>
      <c r="J219" s="305">
        <v>2000000</v>
      </c>
      <c r="K219" s="306"/>
      <c r="L219" s="307"/>
      <c r="M219" s="307"/>
      <c r="N219" s="308"/>
      <c r="O219" s="309"/>
      <c r="P219" s="334">
        <f>J219/Q219*1000</f>
        <v>5263157.8947368423</v>
      </c>
      <c r="Q219" s="305">
        <v>380</v>
      </c>
      <c r="R219" s="333">
        <v>1.1000000000000001</v>
      </c>
      <c r="S219" s="334">
        <f>P219/R219</f>
        <v>4784688.9952153107</v>
      </c>
      <c r="T219" s="306"/>
      <c r="U219" s="306"/>
      <c r="V219" s="306"/>
      <c r="W219" s="310"/>
      <c r="X219" s="306"/>
      <c r="Y219" s="310"/>
      <c r="Z219" s="306"/>
      <c r="AA219" s="306"/>
      <c r="AB219" s="311"/>
      <c r="AC219" s="311"/>
      <c r="AD219" s="311"/>
    </row>
    <row r="220" spans="1:30" ht="15.75" hidden="1" customHeight="1" x14ac:dyDescent="0.15">
      <c r="A220" s="290"/>
      <c r="B220" s="303"/>
      <c r="C220" s="303"/>
      <c r="D220" s="301" t="s">
        <v>266</v>
      </c>
      <c r="E220" s="302" t="s">
        <v>285</v>
      </c>
      <c r="F220" s="303" t="s">
        <v>224</v>
      </c>
      <c r="G220" s="303" t="s">
        <v>22</v>
      </c>
      <c r="H220" s="303" t="s">
        <v>65</v>
      </c>
      <c r="I220" s="331">
        <f>J220/$J$240</f>
        <v>3.3779164254834342E-2</v>
      </c>
      <c r="J220" s="305">
        <v>2000000</v>
      </c>
      <c r="K220" s="306"/>
      <c r="L220" s="307"/>
      <c r="M220" s="307"/>
      <c r="N220" s="308"/>
      <c r="O220" s="309"/>
      <c r="P220" s="334">
        <f>J220/Q220*1000</f>
        <v>4444444.444444444</v>
      </c>
      <c r="Q220" s="305">
        <v>450</v>
      </c>
      <c r="R220" s="333">
        <v>1.1000000000000001</v>
      </c>
      <c r="S220" s="334">
        <f>P220/R220</f>
        <v>4040404.0404040399</v>
      </c>
      <c r="T220" s="306"/>
      <c r="U220" s="306"/>
      <c r="V220" s="306"/>
      <c r="W220" s="310"/>
      <c r="X220" s="306"/>
      <c r="Y220" s="310"/>
      <c r="Z220" s="306"/>
      <c r="AA220" s="306"/>
      <c r="AB220" s="311"/>
      <c r="AC220" s="311"/>
      <c r="AD220" s="311"/>
    </row>
    <row r="221" spans="1:30" ht="15.75" hidden="1" customHeight="1" x14ac:dyDescent="0.15">
      <c r="A221" s="290"/>
      <c r="B221" s="303"/>
      <c r="C221" s="303"/>
      <c r="D221" s="301" t="s">
        <v>267</v>
      </c>
      <c r="E221" s="302" t="s">
        <v>285</v>
      </c>
      <c r="F221" s="303" t="s">
        <v>224</v>
      </c>
      <c r="G221" s="303" t="s">
        <v>22</v>
      </c>
      <c r="H221" s="303" t="s">
        <v>58</v>
      </c>
      <c r="I221" s="331">
        <f>J221/$J$240</f>
        <v>3.3779164254834342E-2</v>
      </c>
      <c r="J221" s="305">
        <v>2000000</v>
      </c>
      <c r="K221" s="306"/>
      <c r="L221" s="307"/>
      <c r="M221" s="307"/>
      <c r="N221" s="308"/>
      <c r="O221" s="309"/>
      <c r="P221" s="334">
        <f>J221/Q221*1000</f>
        <v>4444444.444444444</v>
      </c>
      <c r="Q221" s="305">
        <v>450</v>
      </c>
      <c r="R221" s="333">
        <v>1.1000000000000001</v>
      </c>
      <c r="S221" s="334">
        <f>P221/R221</f>
        <v>4040404.0404040399</v>
      </c>
      <c r="T221" s="306"/>
      <c r="U221" s="306"/>
      <c r="V221" s="306"/>
      <c r="W221" s="310"/>
      <c r="X221" s="306"/>
      <c r="Y221" s="310"/>
      <c r="Z221" s="306"/>
      <c r="AA221" s="306"/>
      <c r="AB221" s="311"/>
      <c r="AC221" s="311"/>
      <c r="AD221" s="311"/>
    </row>
    <row r="222" spans="1:30" ht="15.75" hidden="1" customHeight="1" x14ac:dyDescent="0.15">
      <c r="A222" s="290"/>
      <c r="B222" s="303"/>
      <c r="C222" s="303"/>
      <c r="D222" s="393" t="s">
        <v>268</v>
      </c>
      <c r="E222" s="394"/>
      <c r="F222" s="395"/>
      <c r="G222" s="395"/>
      <c r="H222" s="395"/>
      <c r="I222" s="310"/>
      <c r="J222" s="396"/>
      <c r="K222" s="397"/>
      <c r="L222" s="398"/>
      <c r="M222" s="398"/>
      <c r="N222" s="399"/>
      <c r="O222" s="400"/>
      <c r="P222" s="398"/>
      <c r="Q222" s="396"/>
      <c r="R222" s="401"/>
      <c r="S222" s="398"/>
      <c r="T222" s="306"/>
      <c r="U222" s="306"/>
      <c r="V222" s="306"/>
      <c r="W222" s="310"/>
      <c r="X222" s="306"/>
      <c r="Y222" s="310"/>
      <c r="Z222" s="306"/>
      <c r="AA222" s="306"/>
      <c r="AB222" s="311"/>
      <c r="AC222" s="311"/>
      <c r="AD222" s="311"/>
    </row>
    <row r="223" spans="1:30" ht="15.75" hidden="1" customHeight="1" x14ac:dyDescent="0.15">
      <c r="A223" s="290"/>
      <c r="B223" s="303"/>
      <c r="C223" s="303"/>
      <c r="D223" s="301" t="s">
        <v>233</v>
      </c>
      <c r="E223" s="302" t="s">
        <v>285</v>
      </c>
      <c r="F223" s="303" t="s">
        <v>237</v>
      </c>
      <c r="G223" s="303" t="s">
        <v>22</v>
      </c>
      <c r="H223" s="303" t="s">
        <v>65</v>
      </c>
      <c r="I223" s="331">
        <f>J223/$J$240</f>
        <v>5.0668746382251509E-2</v>
      </c>
      <c r="J223" s="305">
        <v>3000000</v>
      </c>
      <c r="K223" s="306"/>
      <c r="L223" s="307"/>
      <c r="M223" s="307"/>
      <c r="N223" s="308"/>
      <c r="O223" s="309"/>
      <c r="P223" s="334">
        <f>J223/Q223*1000</f>
        <v>6666666.666666667</v>
      </c>
      <c r="Q223" s="305">
        <v>450</v>
      </c>
      <c r="R223" s="333">
        <v>1.1000000000000001</v>
      </c>
      <c r="S223" s="334">
        <f>P223/R223</f>
        <v>6060606.0606060605</v>
      </c>
      <c r="T223" s="306"/>
      <c r="U223" s="306"/>
      <c r="V223" s="306"/>
      <c r="W223" s="310"/>
      <c r="X223" s="306"/>
      <c r="Y223" s="310"/>
      <c r="Z223" s="306"/>
      <c r="AA223" s="306"/>
      <c r="AB223" s="311"/>
      <c r="AC223" s="311"/>
      <c r="AD223" s="311"/>
    </row>
    <row r="224" spans="1:30" ht="15.75" hidden="1" customHeight="1" x14ac:dyDescent="0.15">
      <c r="A224" s="290"/>
      <c r="B224" s="303"/>
      <c r="C224" s="303"/>
      <c r="D224" s="393" t="s">
        <v>269</v>
      </c>
      <c r="E224" s="394"/>
      <c r="F224" s="395"/>
      <c r="G224" s="395"/>
      <c r="H224" s="395"/>
      <c r="I224" s="310"/>
      <c r="J224" s="396"/>
      <c r="K224" s="397"/>
      <c r="L224" s="398"/>
      <c r="M224" s="398"/>
      <c r="N224" s="399"/>
      <c r="O224" s="400"/>
      <c r="P224" s="398"/>
      <c r="Q224" s="396"/>
      <c r="R224" s="401"/>
      <c r="S224" s="398"/>
      <c r="T224" s="306"/>
      <c r="U224" s="306"/>
      <c r="V224" s="306"/>
      <c r="W224" s="310"/>
      <c r="X224" s="306"/>
      <c r="Y224" s="310"/>
      <c r="Z224" s="306"/>
      <c r="AA224" s="306"/>
      <c r="AB224" s="311"/>
      <c r="AC224" s="311"/>
      <c r="AD224" s="311"/>
    </row>
    <row r="225" spans="1:30" ht="15.75" hidden="1" customHeight="1" x14ac:dyDescent="0.15">
      <c r="A225" s="290"/>
      <c r="B225" s="303"/>
      <c r="C225" s="303"/>
      <c r="D225" s="393" t="s">
        <v>270</v>
      </c>
      <c r="E225" s="394"/>
      <c r="F225" s="395"/>
      <c r="G225" s="395"/>
      <c r="H225" s="395"/>
      <c r="I225" s="310"/>
      <c r="J225" s="396"/>
      <c r="K225" s="306"/>
      <c r="L225" s="307"/>
      <c r="M225" s="307"/>
      <c r="N225" s="308"/>
      <c r="O225" s="309"/>
      <c r="P225" s="398"/>
      <c r="Q225" s="396"/>
      <c r="R225" s="401"/>
      <c r="S225" s="398"/>
      <c r="T225" s="306"/>
      <c r="U225" s="306"/>
      <c r="V225" s="306"/>
      <c r="W225" s="310"/>
      <c r="X225" s="306"/>
      <c r="Y225" s="310"/>
      <c r="Z225" s="306"/>
      <c r="AA225" s="306"/>
      <c r="AB225" s="311"/>
      <c r="AC225" s="311"/>
      <c r="AD225" s="311"/>
    </row>
    <row r="226" spans="1:30" ht="15.75" hidden="1" customHeight="1" x14ac:dyDescent="0.15">
      <c r="A226" s="290"/>
      <c r="B226" s="303"/>
      <c r="C226" s="303"/>
      <c r="D226" s="393" t="s">
        <v>271</v>
      </c>
      <c r="E226" s="394"/>
      <c r="F226" s="395"/>
      <c r="G226" s="395"/>
      <c r="H226" s="395"/>
      <c r="I226" s="310"/>
      <c r="J226" s="396"/>
      <c r="K226" s="397"/>
      <c r="L226" s="398"/>
      <c r="M226" s="398"/>
      <c r="N226" s="399"/>
      <c r="O226" s="400"/>
      <c r="P226" s="398"/>
      <c r="Q226" s="396"/>
      <c r="R226" s="401"/>
      <c r="S226" s="398"/>
      <c r="T226" s="306"/>
      <c r="U226" s="306"/>
      <c r="V226" s="306"/>
      <c r="W226" s="310"/>
      <c r="X226" s="306"/>
      <c r="Y226" s="310"/>
      <c r="Z226" s="306"/>
      <c r="AA226" s="306"/>
      <c r="AB226" s="311"/>
      <c r="AC226" s="311"/>
      <c r="AD226" s="311"/>
    </row>
    <row r="227" spans="1:30" ht="15.75" hidden="1" customHeight="1" x14ac:dyDescent="0.15">
      <c r="A227" s="290"/>
      <c r="B227" s="303"/>
      <c r="C227" s="303"/>
      <c r="D227" s="393" t="s">
        <v>272</v>
      </c>
      <c r="E227" s="394"/>
      <c r="F227" s="395"/>
      <c r="G227" s="395"/>
      <c r="H227" s="395"/>
      <c r="I227" s="310"/>
      <c r="J227" s="396"/>
      <c r="K227" s="306"/>
      <c r="L227" s="307"/>
      <c r="M227" s="307"/>
      <c r="N227" s="308"/>
      <c r="O227" s="309"/>
      <c r="P227" s="398"/>
      <c r="Q227" s="396"/>
      <c r="R227" s="401"/>
      <c r="S227" s="398"/>
      <c r="T227" s="306"/>
      <c r="U227" s="306"/>
      <c r="V227" s="306"/>
      <c r="W227" s="310"/>
      <c r="X227" s="306"/>
      <c r="Y227" s="310"/>
      <c r="Z227" s="306"/>
      <c r="AA227" s="306"/>
      <c r="AB227" s="311"/>
      <c r="AC227" s="311"/>
      <c r="AD227" s="311"/>
    </row>
    <row r="228" spans="1:30" ht="15.75" hidden="1" customHeight="1" x14ac:dyDescent="0.15">
      <c r="A228" s="290"/>
      <c r="B228" s="303"/>
      <c r="C228" s="303"/>
      <c r="D228" s="393" t="s">
        <v>273</v>
      </c>
      <c r="E228" s="394"/>
      <c r="F228" s="395"/>
      <c r="G228" s="402"/>
      <c r="H228" s="402"/>
      <c r="I228" s="310"/>
      <c r="J228" s="396"/>
      <c r="K228" s="397"/>
      <c r="L228" s="398"/>
      <c r="M228" s="398"/>
      <c r="N228" s="399"/>
      <c r="O228" s="400"/>
      <c r="P228" s="398"/>
      <c r="Q228" s="396"/>
      <c r="R228" s="401"/>
      <c r="S228" s="398"/>
      <c r="T228" s="306"/>
      <c r="U228" s="306"/>
      <c r="V228" s="306"/>
      <c r="W228" s="310"/>
      <c r="X228" s="306"/>
      <c r="Y228" s="310"/>
      <c r="Z228" s="306"/>
      <c r="AA228" s="306"/>
      <c r="AB228" s="311"/>
      <c r="AC228" s="311"/>
      <c r="AD228" s="311"/>
    </row>
    <row r="229" spans="1:30" ht="15.75" hidden="1" customHeight="1" x14ac:dyDescent="0.15">
      <c r="A229" s="290"/>
      <c r="B229" s="303"/>
      <c r="C229" s="303"/>
      <c r="D229" s="393" t="s">
        <v>274</v>
      </c>
      <c r="E229" s="394"/>
      <c r="F229" s="395"/>
      <c r="G229" s="402"/>
      <c r="H229" s="402"/>
      <c r="I229" s="310"/>
      <c r="J229" s="396"/>
      <c r="K229" s="306"/>
      <c r="L229" s="307"/>
      <c r="M229" s="307"/>
      <c r="N229" s="308"/>
      <c r="O229" s="309"/>
      <c r="P229" s="398"/>
      <c r="Q229" s="396"/>
      <c r="R229" s="401"/>
      <c r="S229" s="398"/>
      <c r="T229" s="306"/>
      <c r="U229" s="306"/>
      <c r="V229" s="306"/>
      <c r="W229" s="310"/>
      <c r="X229" s="306"/>
      <c r="Y229" s="310"/>
      <c r="Z229" s="306"/>
      <c r="AA229" s="306"/>
      <c r="AB229" s="311"/>
      <c r="AC229" s="311"/>
      <c r="AD229" s="311"/>
    </row>
    <row r="230" spans="1:30" ht="15.75" hidden="1" customHeight="1" x14ac:dyDescent="0.15">
      <c r="A230" s="290"/>
      <c r="B230" s="303"/>
      <c r="C230" s="303"/>
      <c r="D230" s="301" t="s">
        <v>241</v>
      </c>
      <c r="E230" s="302" t="s">
        <v>285</v>
      </c>
      <c r="F230" s="303" t="s">
        <v>240</v>
      </c>
      <c r="G230" s="345" t="s">
        <v>19</v>
      </c>
      <c r="H230" s="345" t="s">
        <v>48</v>
      </c>
      <c r="I230" s="331">
        <f>J230/$J$240</f>
        <v>3.3779164254834342E-2</v>
      </c>
      <c r="J230" s="305">
        <v>2000000</v>
      </c>
      <c r="K230" s="346">
        <v>4</v>
      </c>
      <c r="L230" s="334">
        <f>J230/K230</f>
        <v>500000</v>
      </c>
      <c r="M230" s="334">
        <v>10</v>
      </c>
      <c r="N230" s="347">
        <f>L230/M230</f>
        <v>50000</v>
      </c>
      <c r="O230" s="348">
        <v>0.2</v>
      </c>
      <c r="P230" s="334">
        <f>L230*O230</f>
        <v>100000</v>
      </c>
      <c r="Q230" s="305">
        <f>J230*1000/P230</f>
        <v>20000</v>
      </c>
      <c r="R230" s="333">
        <v>1.1000000000000001</v>
      </c>
      <c r="S230" s="334">
        <f>P230/R230</f>
        <v>90909.090909090897</v>
      </c>
      <c r="T230" s="306"/>
      <c r="U230" s="306"/>
      <c r="V230" s="306"/>
      <c r="W230" s="310"/>
      <c r="X230" s="306"/>
      <c r="Y230" s="310"/>
      <c r="Z230" s="306"/>
      <c r="AA230" s="306"/>
      <c r="AB230" s="311"/>
      <c r="AC230" s="311"/>
      <c r="AD230" s="311"/>
    </row>
    <row r="231" spans="1:30" ht="15.75" hidden="1" customHeight="1" x14ac:dyDescent="0.15">
      <c r="A231" s="290"/>
      <c r="B231" s="303"/>
      <c r="C231" s="303"/>
      <c r="D231" s="301" t="s">
        <v>235</v>
      </c>
      <c r="E231" s="302" t="s">
        <v>285</v>
      </c>
      <c r="F231" s="303" t="s">
        <v>240</v>
      </c>
      <c r="G231" s="345" t="s">
        <v>22</v>
      </c>
      <c r="H231" s="345" t="s">
        <v>48</v>
      </c>
      <c r="I231" s="331">
        <f>J231/$J$240</f>
        <v>1.6889582127417171E-2</v>
      </c>
      <c r="J231" s="305">
        <v>1000000</v>
      </c>
      <c r="K231" s="306"/>
      <c r="L231" s="307"/>
      <c r="M231" s="307"/>
      <c r="N231" s="308"/>
      <c r="O231" s="309"/>
      <c r="P231" s="334">
        <f>J231/Q231*1000</f>
        <v>2631578.9473684211</v>
      </c>
      <c r="Q231" s="305">
        <v>380</v>
      </c>
      <c r="R231" s="333">
        <v>1.1000000000000001</v>
      </c>
      <c r="S231" s="334">
        <f>P231/R231</f>
        <v>2392344.4976076554</v>
      </c>
      <c r="T231" s="306"/>
      <c r="U231" s="306"/>
      <c r="V231" s="306"/>
      <c r="W231" s="310"/>
      <c r="X231" s="306"/>
      <c r="Y231" s="310"/>
      <c r="Z231" s="306"/>
      <c r="AA231" s="306"/>
      <c r="AB231" s="311"/>
      <c r="AC231" s="311"/>
      <c r="AD231" s="311"/>
    </row>
    <row r="232" spans="1:30" ht="15.75" hidden="1" customHeight="1" x14ac:dyDescent="0.15">
      <c r="A232" s="290"/>
      <c r="B232" s="303"/>
      <c r="C232" s="303"/>
      <c r="D232" s="301" t="s">
        <v>239</v>
      </c>
      <c r="E232" s="302" t="s">
        <v>285</v>
      </c>
      <c r="F232" s="303" t="s">
        <v>240</v>
      </c>
      <c r="G232" s="345" t="s">
        <v>19</v>
      </c>
      <c r="H232" s="345" t="s">
        <v>227</v>
      </c>
      <c r="I232" s="331">
        <f>J232/$J$240</f>
        <v>3.3779164254834342E-2</v>
      </c>
      <c r="J232" s="305">
        <v>2000000</v>
      </c>
      <c r="K232" s="346">
        <v>4</v>
      </c>
      <c r="L232" s="334">
        <f>J232/K232</f>
        <v>500000</v>
      </c>
      <c r="M232" s="334">
        <v>30</v>
      </c>
      <c r="N232" s="347">
        <f>L232/M232</f>
        <v>16666.666666666668</v>
      </c>
      <c r="O232" s="348">
        <v>0.2</v>
      </c>
      <c r="P232" s="334">
        <f>L232*O232</f>
        <v>100000</v>
      </c>
      <c r="Q232" s="305">
        <f>J232*1000/P232</f>
        <v>20000</v>
      </c>
      <c r="R232" s="333">
        <v>1.1000000000000001</v>
      </c>
      <c r="S232" s="334">
        <f>P232/R232</f>
        <v>90909.090909090897</v>
      </c>
      <c r="T232" s="306"/>
      <c r="U232" s="306"/>
      <c r="V232" s="306"/>
      <c r="W232" s="310"/>
      <c r="X232" s="306"/>
      <c r="Y232" s="310"/>
      <c r="Z232" s="306"/>
      <c r="AA232" s="306"/>
      <c r="AB232" s="311"/>
      <c r="AC232" s="311"/>
      <c r="AD232" s="311"/>
    </row>
    <row r="233" spans="1:30" ht="15.75" hidden="1" customHeight="1" x14ac:dyDescent="0.15">
      <c r="A233" s="290"/>
      <c r="B233" s="303"/>
      <c r="C233" s="303"/>
      <c r="D233" s="301" t="s">
        <v>234</v>
      </c>
      <c r="E233" s="302" t="s">
        <v>285</v>
      </c>
      <c r="F233" s="303" t="s">
        <v>240</v>
      </c>
      <c r="G233" s="345" t="s">
        <v>22</v>
      </c>
      <c r="H233" s="345" t="s">
        <v>227</v>
      </c>
      <c r="I233" s="331">
        <f>J233/$J$240</f>
        <v>8.4447910637085854E-3</v>
      </c>
      <c r="J233" s="305">
        <v>500000</v>
      </c>
      <c r="K233" s="306"/>
      <c r="L233" s="307"/>
      <c r="M233" s="307"/>
      <c r="N233" s="308"/>
      <c r="O233" s="309"/>
      <c r="P233" s="334">
        <f>J233/Q233*1000</f>
        <v>1315789.4736842106</v>
      </c>
      <c r="Q233" s="305">
        <v>380</v>
      </c>
      <c r="R233" s="333">
        <v>1.1000000000000001</v>
      </c>
      <c r="S233" s="334">
        <f>P233/R233</f>
        <v>1196172.2488038277</v>
      </c>
      <c r="T233" s="306"/>
      <c r="U233" s="306"/>
      <c r="V233" s="306"/>
      <c r="W233" s="310"/>
      <c r="X233" s="306"/>
      <c r="Y233" s="310"/>
      <c r="Z233" s="306"/>
      <c r="AA233" s="306"/>
      <c r="AB233" s="311"/>
      <c r="AC233" s="311"/>
      <c r="AD233" s="311"/>
    </row>
    <row r="234" spans="1:30" ht="15.75" hidden="1" customHeight="1" x14ac:dyDescent="0.15">
      <c r="A234" s="290"/>
      <c r="B234" s="303"/>
      <c r="C234" s="303"/>
      <c r="D234" s="393" t="s">
        <v>275</v>
      </c>
      <c r="E234" s="394"/>
      <c r="F234" s="395"/>
      <c r="G234" s="402"/>
      <c r="H234" s="402"/>
      <c r="I234" s="310"/>
      <c r="J234" s="396"/>
      <c r="K234" s="397"/>
      <c r="L234" s="398"/>
      <c r="M234" s="398"/>
      <c r="N234" s="399"/>
      <c r="O234" s="400"/>
      <c r="P234" s="398"/>
      <c r="Q234" s="396"/>
      <c r="R234" s="401"/>
      <c r="S234" s="398"/>
      <c r="T234" s="306"/>
      <c r="U234" s="306"/>
      <c r="V234" s="306"/>
      <c r="W234" s="310"/>
      <c r="X234" s="306"/>
      <c r="Y234" s="310"/>
      <c r="Z234" s="306"/>
      <c r="AA234" s="306"/>
      <c r="AB234" s="311"/>
      <c r="AC234" s="311"/>
      <c r="AD234" s="311"/>
    </row>
    <row r="235" spans="1:30" ht="15.75" hidden="1" customHeight="1" x14ac:dyDescent="0.15">
      <c r="A235" s="290"/>
      <c r="B235" s="303"/>
      <c r="C235" s="303"/>
      <c r="D235" s="393" t="s">
        <v>276</v>
      </c>
      <c r="E235" s="394"/>
      <c r="F235" s="395"/>
      <c r="G235" s="402"/>
      <c r="H235" s="402"/>
      <c r="I235" s="310"/>
      <c r="J235" s="396"/>
      <c r="K235" s="306"/>
      <c r="L235" s="307"/>
      <c r="M235" s="307"/>
      <c r="N235" s="308"/>
      <c r="O235" s="309"/>
      <c r="P235" s="398"/>
      <c r="Q235" s="396"/>
      <c r="R235" s="401"/>
      <c r="S235" s="398"/>
      <c r="T235" s="306"/>
      <c r="U235" s="306"/>
      <c r="V235" s="306"/>
      <c r="W235" s="310"/>
      <c r="X235" s="306"/>
      <c r="Y235" s="310"/>
      <c r="Z235" s="306"/>
      <c r="AA235" s="306"/>
      <c r="AB235" s="311"/>
      <c r="AC235" s="311"/>
      <c r="AD235" s="311"/>
    </row>
    <row r="236" spans="1:30" ht="15.75" hidden="1" customHeight="1" x14ac:dyDescent="0.15">
      <c r="A236" s="290"/>
      <c r="B236" s="303"/>
      <c r="C236" s="303"/>
      <c r="D236" s="301" t="s">
        <v>242</v>
      </c>
      <c r="E236" s="302" t="s">
        <v>285</v>
      </c>
      <c r="F236" s="303" t="s">
        <v>243</v>
      </c>
      <c r="G236" s="345" t="s">
        <v>25</v>
      </c>
      <c r="H236" s="345" t="s">
        <v>227</v>
      </c>
      <c r="I236" s="331">
        <f>J236/$J$240</f>
        <v>3.3779164254834342E-2</v>
      </c>
      <c r="J236" s="305">
        <v>2000000</v>
      </c>
      <c r="K236" s="346">
        <v>4</v>
      </c>
      <c r="L236" s="334">
        <f>J236/K236</f>
        <v>500000</v>
      </c>
      <c r="M236" s="334">
        <f>L236/N236</f>
        <v>1.25</v>
      </c>
      <c r="N236" s="347">
        <v>400000</v>
      </c>
      <c r="O236" s="348">
        <v>0.6</v>
      </c>
      <c r="P236" s="334">
        <f>N236*O236</f>
        <v>240000</v>
      </c>
      <c r="Q236" s="305">
        <f>J236*1000/P236</f>
        <v>8333.3333333333339</v>
      </c>
      <c r="R236" s="333">
        <v>1.1000000000000001</v>
      </c>
      <c r="S236" s="334">
        <f>P236/R236</f>
        <v>218181.81818181818</v>
      </c>
      <c r="T236" s="306"/>
      <c r="U236" s="306"/>
      <c r="V236" s="306"/>
      <c r="W236" s="310"/>
      <c r="X236" s="306"/>
      <c r="Y236" s="310"/>
      <c r="Z236" s="306"/>
      <c r="AA236" s="306"/>
      <c r="AB236" s="311"/>
      <c r="AC236" s="311"/>
      <c r="AD236" s="311"/>
    </row>
    <row r="237" spans="1:30" ht="15.75" hidden="1" customHeight="1" x14ac:dyDescent="0.15">
      <c r="A237" s="290"/>
      <c r="B237" s="303"/>
      <c r="C237" s="303"/>
      <c r="D237" s="301" t="s">
        <v>244</v>
      </c>
      <c r="E237" s="302" t="s">
        <v>285</v>
      </c>
      <c r="F237" s="303" t="s">
        <v>243</v>
      </c>
      <c r="G237" s="345" t="s">
        <v>25</v>
      </c>
      <c r="H237" s="345" t="s">
        <v>245</v>
      </c>
      <c r="I237" s="331">
        <f>J237/$J$240</f>
        <v>1.6889582127417171E-2</v>
      </c>
      <c r="J237" s="305">
        <v>1000000</v>
      </c>
      <c r="K237" s="306"/>
      <c r="L237" s="306"/>
      <c r="M237" s="306"/>
      <c r="N237" s="306"/>
      <c r="O237" s="306"/>
      <c r="P237" s="306"/>
      <c r="Q237" s="306"/>
      <c r="R237" s="306"/>
      <c r="S237" s="306"/>
      <c r="T237" s="306"/>
      <c r="U237" s="306"/>
      <c r="V237" s="306"/>
      <c r="W237" s="310"/>
      <c r="X237" s="306"/>
      <c r="Y237" s="310"/>
      <c r="Z237" s="306"/>
      <c r="AA237" s="332">
        <v>1000</v>
      </c>
      <c r="AB237" s="340"/>
      <c r="AC237" s="340">
        <f>AA237*50000</f>
        <v>50000000</v>
      </c>
      <c r="AD237" s="340"/>
    </row>
    <row r="238" spans="1:30" ht="15.75" hidden="1" customHeight="1" x14ac:dyDescent="0.15">
      <c r="A238" s="290"/>
      <c r="B238" s="403"/>
      <c r="C238" s="403"/>
      <c r="D238" s="404" t="s">
        <v>277</v>
      </c>
      <c r="E238" s="302" t="s">
        <v>285</v>
      </c>
      <c r="F238" s="303" t="s">
        <v>210</v>
      </c>
      <c r="G238" s="303" t="s">
        <v>25</v>
      </c>
      <c r="H238" s="303" t="s">
        <v>227</v>
      </c>
      <c r="I238" s="331">
        <f>J238/$J$240</f>
        <v>8.4447910637085843E-2</v>
      </c>
      <c r="J238" s="361">
        <v>5000000</v>
      </c>
      <c r="K238" s="359">
        <v>2</v>
      </c>
      <c r="L238" s="332">
        <f>M238*N238</f>
        <v>1000000</v>
      </c>
      <c r="M238" s="332">
        <v>100</v>
      </c>
      <c r="N238" s="332">
        <v>10000</v>
      </c>
      <c r="O238" s="360">
        <v>0.2</v>
      </c>
      <c r="P238" s="332">
        <f>N238*O238</f>
        <v>2000</v>
      </c>
      <c r="Q238" s="361">
        <f>J238*1000/P238</f>
        <v>2500000</v>
      </c>
      <c r="R238" s="362">
        <v>1.1000000000000001</v>
      </c>
      <c r="S238" s="332">
        <f>P238/R238</f>
        <v>1818.181818181818</v>
      </c>
      <c r="T238" s="306"/>
      <c r="U238" s="306"/>
      <c r="V238" s="306"/>
      <c r="W238" s="310"/>
      <c r="X238" s="306"/>
      <c r="Y238" s="310"/>
      <c r="Z238" s="306"/>
      <c r="AA238" s="332">
        <f>J238*5/70000</f>
        <v>357.14285714285717</v>
      </c>
      <c r="AB238" s="340"/>
      <c r="AC238" s="340">
        <f>AA238*50000</f>
        <v>17857142.857142858</v>
      </c>
      <c r="AD238" s="340"/>
    </row>
    <row r="239" spans="1:30" ht="15.75" hidden="1" customHeight="1" x14ac:dyDescent="0.15">
      <c r="A239" s="290"/>
      <c r="B239" s="403"/>
      <c r="C239" s="403"/>
      <c r="D239" s="405" t="s">
        <v>278</v>
      </c>
      <c r="E239" s="302" t="s">
        <v>285</v>
      </c>
      <c r="F239" s="406" t="s">
        <v>210</v>
      </c>
      <c r="G239" s="406" t="s">
        <v>25</v>
      </c>
      <c r="H239" s="406" t="s">
        <v>279</v>
      </c>
      <c r="I239" s="331">
        <f>J239/$J$240</f>
        <v>0.58620523787827938</v>
      </c>
      <c r="J239" s="407">
        <v>34708096</v>
      </c>
      <c r="K239" s="408"/>
      <c r="L239" s="408"/>
      <c r="M239" s="408"/>
      <c r="N239" s="408"/>
      <c r="O239" s="408"/>
      <c r="P239" s="408"/>
      <c r="Q239" s="408"/>
      <c r="R239" s="408"/>
      <c r="S239" s="408"/>
      <c r="T239" s="306"/>
      <c r="U239" s="306"/>
      <c r="V239" s="306"/>
      <c r="W239" s="310"/>
      <c r="X239" s="306"/>
      <c r="Y239" s="310"/>
      <c r="Z239" s="306"/>
      <c r="AA239" s="409">
        <v>3537</v>
      </c>
      <c r="AB239" s="410"/>
      <c r="AC239" s="410">
        <f>AA239*50000</f>
        <v>176850000</v>
      </c>
      <c r="AD239" s="340"/>
    </row>
    <row r="240" spans="1:30" ht="15.75" hidden="1" customHeight="1" x14ac:dyDescent="0.15">
      <c r="A240" s="290"/>
      <c r="B240" s="313"/>
      <c r="C240" s="313"/>
      <c r="D240" s="314" t="s">
        <v>27</v>
      </c>
      <c r="E240" s="315"/>
      <c r="F240" s="315"/>
      <c r="G240" s="315"/>
      <c r="H240" s="315"/>
      <c r="I240" s="316">
        <f>J240/J240</f>
        <v>1</v>
      </c>
      <c r="J240" s="317">
        <f>SUM(J218:J239)</f>
        <v>59208096</v>
      </c>
      <c r="K240" s="315"/>
      <c r="L240" s="318"/>
      <c r="M240" s="318">
        <f>SUM(M218:M239)</f>
        <v>141.25</v>
      </c>
      <c r="N240" s="318"/>
      <c r="O240" s="318"/>
      <c r="P240" s="318">
        <f>SUM(P218:P239)</f>
        <v>30471239.76608187</v>
      </c>
      <c r="Q240" s="318">
        <f>J240/P240*1000</f>
        <v>1943.0812941817248</v>
      </c>
      <c r="R240" s="319">
        <f>P240/T240</f>
        <v>5.5000000000000009</v>
      </c>
      <c r="S240" s="318">
        <f>SUM(S218:S239)</f>
        <v>27701127.060074423</v>
      </c>
      <c r="T240" s="318">
        <f>S240/5</f>
        <v>5540225.4120148849</v>
      </c>
      <c r="U240" s="318"/>
      <c r="V240" s="318"/>
      <c r="W240" s="320"/>
      <c r="X240" s="318"/>
      <c r="Y240" s="320"/>
      <c r="Z240" s="318"/>
      <c r="AA240" s="318">
        <f>SUM(AA221:AA239)</f>
        <v>4894.1428571428569</v>
      </c>
      <c r="AB240" s="317"/>
      <c r="AC240" s="317">
        <f>SUM(AC221:AC239)</f>
        <v>244707142.85714287</v>
      </c>
      <c r="AD240" s="317"/>
    </row>
    <row r="241" spans="1:30" ht="15.75" hidden="1" customHeight="1" x14ac:dyDescent="0.15">
      <c r="A241" s="290"/>
      <c r="B241" s="290"/>
      <c r="C241" s="290"/>
      <c r="D241" s="290"/>
      <c r="E241" s="290"/>
      <c r="F241" s="290"/>
      <c r="G241" s="290"/>
      <c r="H241" s="290"/>
      <c r="I241" s="290"/>
      <c r="J241" s="290"/>
      <c r="K241" s="290"/>
      <c r="L241" s="290"/>
      <c r="M241" s="290"/>
      <c r="N241" s="290"/>
      <c r="O241" s="290"/>
      <c r="P241" s="290"/>
      <c r="Q241" s="290"/>
      <c r="R241" s="290"/>
      <c r="S241" s="290"/>
      <c r="T241" s="290"/>
      <c r="U241" s="290"/>
      <c r="V241" s="290"/>
      <c r="W241" s="291"/>
      <c r="X241" s="290"/>
      <c r="Y241" s="291"/>
      <c r="Z241" s="290"/>
      <c r="AA241" s="290"/>
      <c r="AB241" s="292"/>
      <c r="AC241" s="292"/>
      <c r="AD241" s="292"/>
    </row>
    <row r="242" spans="1:30" ht="15.75" hidden="1" customHeight="1" x14ac:dyDescent="0.15">
      <c r="A242" s="290"/>
      <c r="B242" s="390"/>
      <c r="C242" s="390"/>
      <c r="D242" s="295" t="s">
        <v>146</v>
      </c>
      <c r="E242" s="392"/>
      <c r="F242" s="296"/>
      <c r="G242" s="296"/>
      <c r="H242" s="296"/>
      <c r="I242" s="296"/>
      <c r="J242" s="296"/>
      <c r="K242" s="296"/>
      <c r="L242" s="296"/>
      <c r="M242" s="296"/>
      <c r="N242" s="296"/>
      <c r="O242" s="296"/>
      <c r="P242" s="296"/>
      <c r="Q242" s="296"/>
      <c r="R242" s="296"/>
      <c r="S242" s="296"/>
      <c r="T242" s="296"/>
      <c r="U242" s="296"/>
      <c r="V242" s="296"/>
      <c r="W242" s="297"/>
      <c r="X242" s="296"/>
      <c r="Y242" s="297"/>
      <c r="Z242" s="296"/>
      <c r="AA242" s="296"/>
      <c r="AB242" s="298"/>
      <c r="AC242" s="298"/>
      <c r="AD242" s="299"/>
    </row>
    <row r="243" spans="1:30" ht="15.75" hidden="1" customHeight="1" x14ac:dyDescent="0.15">
      <c r="A243" s="290"/>
      <c r="B243" s="303"/>
      <c r="C243" s="303"/>
      <c r="D243" s="301" t="s">
        <v>264</v>
      </c>
      <c r="E243" s="302" t="s">
        <v>286</v>
      </c>
      <c r="F243" s="303" t="s">
        <v>224</v>
      </c>
      <c r="G243" s="303" t="s">
        <v>22</v>
      </c>
      <c r="H243" s="303" t="s">
        <v>227</v>
      </c>
      <c r="I243" s="331">
        <f>J243/$J$265</f>
        <v>2.3945396259312454E-2</v>
      </c>
      <c r="J243" s="305">
        <v>1000000</v>
      </c>
      <c r="K243" s="306"/>
      <c r="L243" s="307"/>
      <c r="M243" s="307"/>
      <c r="N243" s="308"/>
      <c r="O243" s="309"/>
      <c r="P243" s="334">
        <f>J243/Q243*1000</f>
        <v>2631578.9473684211</v>
      </c>
      <c r="Q243" s="305">
        <v>380</v>
      </c>
      <c r="R243" s="333">
        <v>1.1000000000000001</v>
      </c>
      <c r="S243" s="334">
        <f>P243/R243</f>
        <v>2392344.4976076554</v>
      </c>
      <c r="T243" s="306"/>
      <c r="U243" s="306"/>
      <c r="V243" s="306"/>
      <c r="W243" s="310"/>
      <c r="X243" s="306"/>
      <c r="Y243" s="310"/>
      <c r="Z243" s="306"/>
      <c r="AA243" s="306"/>
      <c r="AB243" s="311"/>
      <c r="AC243" s="311"/>
      <c r="AD243" s="311"/>
    </row>
    <row r="244" spans="1:30" ht="15.75" hidden="1" customHeight="1" x14ac:dyDescent="0.15">
      <c r="A244" s="290"/>
      <c r="B244" s="303"/>
      <c r="C244" s="303"/>
      <c r="D244" s="301" t="s">
        <v>265</v>
      </c>
      <c r="E244" s="302" t="s">
        <v>286</v>
      </c>
      <c r="F244" s="303" t="s">
        <v>224</v>
      </c>
      <c r="G244" s="303" t="s">
        <v>22</v>
      </c>
      <c r="H244" s="303" t="s">
        <v>48</v>
      </c>
      <c r="I244" s="331">
        <f>J244/$J$265</f>
        <v>2.3945396259312454E-2</v>
      </c>
      <c r="J244" s="305">
        <v>1000000</v>
      </c>
      <c r="K244" s="306"/>
      <c r="L244" s="307"/>
      <c r="M244" s="307"/>
      <c r="N244" s="308"/>
      <c r="O244" s="309"/>
      <c r="P244" s="334">
        <f>J244/Q244*1000</f>
        <v>2631578.9473684211</v>
      </c>
      <c r="Q244" s="305">
        <v>380</v>
      </c>
      <c r="R244" s="333">
        <v>1.1000000000000001</v>
      </c>
      <c r="S244" s="334">
        <f>P244/R244</f>
        <v>2392344.4976076554</v>
      </c>
      <c r="T244" s="306"/>
      <c r="U244" s="306"/>
      <c r="V244" s="306"/>
      <c r="W244" s="310"/>
      <c r="X244" s="306"/>
      <c r="Y244" s="310"/>
      <c r="Z244" s="306"/>
      <c r="AA244" s="306"/>
      <c r="AB244" s="311"/>
      <c r="AC244" s="311"/>
      <c r="AD244" s="311"/>
    </row>
    <row r="245" spans="1:30" ht="15.75" hidden="1" customHeight="1" x14ac:dyDescent="0.15">
      <c r="A245" s="290"/>
      <c r="B245" s="303"/>
      <c r="C245" s="303"/>
      <c r="D245" s="301" t="s">
        <v>266</v>
      </c>
      <c r="E245" s="302" t="s">
        <v>286</v>
      </c>
      <c r="F245" s="303" t="s">
        <v>224</v>
      </c>
      <c r="G245" s="303" t="s">
        <v>22</v>
      </c>
      <c r="H245" s="303" t="s">
        <v>65</v>
      </c>
      <c r="I245" s="331">
        <f>J245/$J$265</f>
        <v>2.3945396259312454E-2</v>
      </c>
      <c r="J245" s="305">
        <v>1000000</v>
      </c>
      <c r="K245" s="306"/>
      <c r="L245" s="307"/>
      <c r="M245" s="307"/>
      <c r="N245" s="308"/>
      <c r="O245" s="309"/>
      <c r="P245" s="334">
        <f>J245/Q245*1000</f>
        <v>2222222.222222222</v>
      </c>
      <c r="Q245" s="305">
        <v>450</v>
      </c>
      <c r="R245" s="333">
        <v>1.1000000000000001</v>
      </c>
      <c r="S245" s="334">
        <f>P245/R245</f>
        <v>2020202.02020202</v>
      </c>
      <c r="T245" s="306"/>
      <c r="U245" s="306"/>
      <c r="V245" s="306"/>
      <c r="W245" s="310"/>
      <c r="X245" s="306"/>
      <c r="Y245" s="310"/>
      <c r="Z245" s="306"/>
      <c r="AA245" s="306"/>
      <c r="AB245" s="311"/>
      <c r="AC245" s="311"/>
      <c r="AD245" s="311"/>
    </row>
    <row r="246" spans="1:30" ht="15.75" hidden="1" customHeight="1" x14ac:dyDescent="0.15">
      <c r="A246" s="290"/>
      <c r="B246" s="303"/>
      <c r="C246" s="303"/>
      <c r="D246" s="301" t="s">
        <v>267</v>
      </c>
      <c r="E246" s="302" t="s">
        <v>286</v>
      </c>
      <c r="F246" s="303" t="s">
        <v>224</v>
      </c>
      <c r="G246" s="303" t="s">
        <v>22</v>
      </c>
      <c r="H246" s="303" t="s">
        <v>58</v>
      </c>
      <c r="I246" s="331">
        <f>J246/$J$265</f>
        <v>2.3945396259312454E-2</v>
      </c>
      <c r="J246" s="305">
        <v>1000000</v>
      </c>
      <c r="K246" s="306"/>
      <c r="L246" s="307"/>
      <c r="M246" s="307"/>
      <c r="N246" s="308"/>
      <c r="O246" s="309"/>
      <c r="P246" s="334">
        <f>J246/Q246*1000</f>
        <v>2222222.222222222</v>
      </c>
      <c r="Q246" s="305">
        <v>450</v>
      </c>
      <c r="R246" s="333">
        <v>1.1000000000000001</v>
      </c>
      <c r="S246" s="334">
        <f>P246/R246</f>
        <v>2020202.02020202</v>
      </c>
      <c r="T246" s="306"/>
      <c r="U246" s="306"/>
      <c r="V246" s="306"/>
      <c r="W246" s="310"/>
      <c r="X246" s="306"/>
      <c r="Y246" s="310"/>
      <c r="Z246" s="306"/>
      <c r="AA246" s="306"/>
      <c r="AB246" s="311"/>
      <c r="AC246" s="311"/>
      <c r="AD246" s="311"/>
    </row>
    <row r="247" spans="1:30" ht="15.75" hidden="1" customHeight="1" x14ac:dyDescent="0.15">
      <c r="A247" s="290"/>
      <c r="B247" s="303"/>
      <c r="C247" s="303"/>
      <c r="D247" s="393" t="s">
        <v>268</v>
      </c>
      <c r="E247" s="394"/>
      <c r="F247" s="395"/>
      <c r="G247" s="395"/>
      <c r="H247" s="395"/>
      <c r="I247" s="310"/>
      <c r="J247" s="396"/>
      <c r="K247" s="397"/>
      <c r="L247" s="398"/>
      <c r="M247" s="398"/>
      <c r="N247" s="399"/>
      <c r="O247" s="400"/>
      <c r="P247" s="398"/>
      <c r="Q247" s="396"/>
      <c r="R247" s="401"/>
      <c r="S247" s="398"/>
      <c r="T247" s="306"/>
      <c r="U247" s="306"/>
      <c r="V247" s="306"/>
      <c r="W247" s="310"/>
      <c r="X247" s="306"/>
      <c r="Y247" s="310"/>
      <c r="Z247" s="306"/>
      <c r="AA247" s="306"/>
      <c r="AB247" s="311"/>
      <c r="AC247" s="311"/>
      <c r="AD247" s="311"/>
    </row>
    <row r="248" spans="1:30" ht="15.75" hidden="1" customHeight="1" x14ac:dyDescent="0.15">
      <c r="A248" s="290"/>
      <c r="B248" s="303"/>
      <c r="C248" s="303"/>
      <c r="D248" s="393" t="s">
        <v>233</v>
      </c>
      <c r="E248" s="394"/>
      <c r="F248" s="395"/>
      <c r="G248" s="395"/>
      <c r="H248" s="395"/>
      <c r="I248" s="310"/>
      <c r="J248" s="396"/>
      <c r="K248" s="306"/>
      <c r="L248" s="307"/>
      <c r="M248" s="307"/>
      <c r="N248" s="308"/>
      <c r="O248" s="309"/>
      <c r="P248" s="398"/>
      <c r="Q248" s="396"/>
      <c r="R248" s="401"/>
      <c r="S248" s="398"/>
      <c r="T248" s="306"/>
      <c r="U248" s="306"/>
      <c r="V248" s="306"/>
      <c r="W248" s="310"/>
      <c r="X248" s="306"/>
      <c r="Y248" s="310"/>
      <c r="Z248" s="306"/>
      <c r="AA248" s="306"/>
      <c r="AB248" s="311"/>
      <c r="AC248" s="311"/>
      <c r="AD248" s="311"/>
    </row>
    <row r="249" spans="1:30" ht="15.75" hidden="1" customHeight="1" x14ac:dyDescent="0.15">
      <c r="A249" s="290"/>
      <c r="B249" s="303"/>
      <c r="C249" s="303"/>
      <c r="D249" s="393" t="s">
        <v>269</v>
      </c>
      <c r="E249" s="394"/>
      <c r="F249" s="395"/>
      <c r="G249" s="395"/>
      <c r="H249" s="395"/>
      <c r="I249" s="310"/>
      <c r="J249" s="396"/>
      <c r="K249" s="397"/>
      <c r="L249" s="398"/>
      <c r="M249" s="398"/>
      <c r="N249" s="399"/>
      <c r="O249" s="400"/>
      <c r="P249" s="398"/>
      <c r="Q249" s="396"/>
      <c r="R249" s="401"/>
      <c r="S249" s="398"/>
      <c r="T249" s="306"/>
      <c r="U249" s="306"/>
      <c r="V249" s="306"/>
      <c r="W249" s="310"/>
      <c r="X249" s="306"/>
      <c r="Y249" s="310"/>
      <c r="Z249" s="306"/>
      <c r="AA249" s="306"/>
      <c r="AB249" s="311"/>
      <c r="AC249" s="311"/>
      <c r="AD249" s="311"/>
    </row>
    <row r="250" spans="1:30" ht="15.75" hidden="1" customHeight="1" x14ac:dyDescent="0.15">
      <c r="A250" s="290"/>
      <c r="B250" s="303"/>
      <c r="C250" s="303"/>
      <c r="D250" s="393" t="s">
        <v>270</v>
      </c>
      <c r="E250" s="394"/>
      <c r="F250" s="395"/>
      <c r="G250" s="395"/>
      <c r="H250" s="395"/>
      <c r="I250" s="310"/>
      <c r="J250" s="396"/>
      <c r="K250" s="306"/>
      <c r="L250" s="307"/>
      <c r="M250" s="307"/>
      <c r="N250" s="308"/>
      <c r="O250" s="309"/>
      <c r="P250" s="398"/>
      <c r="Q250" s="396"/>
      <c r="R250" s="401"/>
      <c r="S250" s="398"/>
      <c r="T250" s="306"/>
      <c r="U250" s="306"/>
      <c r="V250" s="306"/>
      <c r="W250" s="310"/>
      <c r="X250" s="306"/>
      <c r="Y250" s="310"/>
      <c r="Z250" s="306"/>
      <c r="AA250" s="306"/>
      <c r="AB250" s="311"/>
      <c r="AC250" s="311"/>
      <c r="AD250" s="311"/>
    </row>
    <row r="251" spans="1:30" ht="15.75" hidden="1" customHeight="1" x14ac:dyDescent="0.15">
      <c r="A251" s="290"/>
      <c r="B251" s="303"/>
      <c r="C251" s="303"/>
      <c r="D251" s="393" t="s">
        <v>271</v>
      </c>
      <c r="E251" s="394"/>
      <c r="F251" s="395"/>
      <c r="G251" s="395"/>
      <c r="H251" s="395"/>
      <c r="I251" s="310"/>
      <c r="J251" s="396"/>
      <c r="K251" s="397"/>
      <c r="L251" s="398"/>
      <c r="M251" s="398"/>
      <c r="N251" s="399"/>
      <c r="O251" s="400"/>
      <c r="P251" s="398"/>
      <c r="Q251" s="396"/>
      <c r="R251" s="401"/>
      <c r="S251" s="398"/>
      <c r="T251" s="306"/>
      <c r="U251" s="306"/>
      <c r="V251" s="306"/>
      <c r="W251" s="310"/>
      <c r="X251" s="306"/>
      <c r="Y251" s="310"/>
      <c r="Z251" s="306"/>
      <c r="AA251" s="306"/>
      <c r="AB251" s="311"/>
      <c r="AC251" s="311"/>
      <c r="AD251" s="311"/>
    </row>
    <row r="252" spans="1:30" ht="15.75" hidden="1" customHeight="1" x14ac:dyDescent="0.15">
      <c r="A252" s="290"/>
      <c r="B252" s="303"/>
      <c r="C252" s="303"/>
      <c r="D252" s="393" t="s">
        <v>272</v>
      </c>
      <c r="E252" s="394"/>
      <c r="F252" s="395"/>
      <c r="G252" s="395"/>
      <c r="H252" s="395"/>
      <c r="I252" s="310"/>
      <c r="J252" s="396"/>
      <c r="K252" s="306"/>
      <c r="L252" s="307"/>
      <c r="M252" s="307"/>
      <c r="N252" s="308"/>
      <c r="O252" s="309"/>
      <c r="P252" s="398"/>
      <c r="Q252" s="396"/>
      <c r="R252" s="401"/>
      <c r="S252" s="398"/>
      <c r="T252" s="306"/>
      <c r="U252" s="306"/>
      <c r="V252" s="306"/>
      <c r="W252" s="310"/>
      <c r="X252" s="306"/>
      <c r="Y252" s="310"/>
      <c r="Z252" s="306"/>
      <c r="AA252" s="306"/>
      <c r="AB252" s="311"/>
      <c r="AC252" s="311"/>
      <c r="AD252" s="311"/>
    </row>
    <row r="253" spans="1:30" ht="15.75" hidden="1" customHeight="1" x14ac:dyDescent="0.15">
      <c r="A253" s="290"/>
      <c r="B253" s="303"/>
      <c r="C253" s="303"/>
      <c r="D253" s="301" t="s">
        <v>273</v>
      </c>
      <c r="E253" s="302" t="s">
        <v>286</v>
      </c>
      <c r="F253" s="303" t="s">
        <v>240</v>
      </c>
      <c r="G253" s="345" t="s">
        <v>19</v>
      </c>
      <c r="H253" s="345" t="s">
        <v>227</v>
      </c>
      <c r="I253" s="331">
        <f>J253/$J$265</f>
        <v>4.7890792518624908E-2</v>
      </c>
      <c r="J253" s="305">
        <v>2000000</v>
      </c>
      <c r="K253" s="346">
        <v>4</v>
      </c>
      <c r="L253" s="334">
        <f>J253/K253</f>
        <v>500000</v>
      </c>
      <c r="M253" s="334">
        <v>3</v>
      </c>
      <c r="N253" s="347">
        <f>L253/M253</f>
        <v>166666.66666666666</v>
      </c>
      <c r="O253" s="348">
        <v>0.2</v>
      </c>
      <c r="P253" s="334">
        <f>L253*O253</f>
        <v>100000</v>
      </c>
      <c r="Q253" s="305">
        <f>J253*1000/P253</f>
        <v>20000</v>
      </c>
      <c r="R253" s="333">
        <v>1.1000000000000001</v>
      </c>
      <c r="S253" s="334">
        <f>P253/R253</f>
        <v>90909.090909090897</v>
      </c>
      <c r="T253" s="306"/>
      <c r="U253" s="306"/>
      <c r="V253" s="306"/>
      <c r="W253" s="310"/>
      <c r="X253" s="306"/>
      <c r="Y253" s="310"/>
      <c r="Z253" s="306"/>
      <c r="AA253" s="306"/>
      <c r="AB253" s="311"/>
      <c r="AC253" s="311"/>
      <c r="AD253" s="311"/>
    </row>
    <row r="254" spans="1:30" ht="15.75" hidden="1" customHeight="1" x14ac:dyDescent="0.15">
      <c r="A254" s="290"/>
      <c r="B254" s="303"/>
      <c r="C254" s="303"/>
      <c r="D254" s="301" t="s">
        <v>274</v>
      </c>
      <c r="E254" s="302" t="s">
        <v>286</v>
      </c>
      <c r="F254" s="303" t="s">
        <v>240</v>
      </c>
      <c r="G254" s="345" t="s">
        <v>22</v>
      </c>
      <c r="H254" s="345" t="s">
        <v>227</v>
      </c>
      <c r="I254" s="331">
        <f>J254/$J$265</f>
        <v>2.3945396259312454E-2</v>
      </c>
      <c r="J254" s="305">
        <v>1000000</v>
      </c>
      <c r="K254" s="306"/>
      <c r="L254" s="307"/>
      <c r="M254" s="307"/>
      <c r="N254" s="308"/>
      <c r="O254" s="309"/>
      <c r="P254" s="334">
        <f>J254/Q254*1000</f>
        <v>2631578.9473684211</v>
      </c>
      <c r="Q254" s="305">
        <v>380</v>
      </c>
      <c r="R254" s="333">
        <v>1.1000000000000001</v>
      </c>
      <c r="S254" s="334">
        <f>P254/R254</f>
        <v>2392344.4976076554</v>
      </c>
      <c r="T254" s="306"/>
      <c r="U254" s="306"/>
      <c r="V254" s="306"/>
      <c r="W254" s="310"/>
      <c r="X254" s="306"/>
      <c r="Y254" s="310"/>
      <c r="Z254" s="306"/>
      <c r="AA254" s="306"/>
      <c r="AB254" s="311"/>
      <c r="AC254" s="311"/>
      <c r="AD254" s="311"/>
    </row>
    <row r="255" spans="1:30" ht="15.75" hidden="1" customHeight="1" x14ac:dyDescent="0.15">
      <c r="A255" s="290"/>
      <c r="B255" s="303"/>
      <c r="C255" s="303"/>
      <c r="D255" s="393" t="s">
        <v>241</v>
      </c>
      <c r="E255" s="394"/>
      <c r="F255" s="395"/>
      <c r="G255" s="402"/>
      <c r="H255" s="402"/>
      <c r="I255" s="310"/>
      <c r="J255" s="396"/>
      <c r="K255" s="397"/>
      <c r="L255" s="398"/>
      <c r="M255" s="398"/>
      <c r="N255" s="399"/>
      <c r="O255" s="400"/>
      <c r="P255" s="398"/>
      <c r="Q255" s="396"/>
      <c r="R255" s="401"/>
      <c r="S255" s="398"/>
      <c r="T255" s="306"/>
      <c r="U255" s="306"/>
      <c r="V255" s="306"/>
      <c r="W255" s="310"/>
      <c r="X255" s="306"/>
      <c r="Y255" s="310"/>
      <c r="Z255" s="306"/>
      <c r="AA255" s="306"/>
      <c r="AB255" s="311"/>
      <c r="AC255" s="311"/>
      <c r="AD255" s="311"/>
    </row>
    <row r="256" spans="1:30" ht="15.75" hidden="1" customHeight="1" x14ac:dyDescent="0.15">
      <c r="A256" s="290"/>
      <c r="B256" s="303"/>
      <c r="C256" s="303"/>
      <c r="D256" s="393" t="s">
        <v>235</v>
      </c>
      <c r="E256" s="394"/>
      <c r="F256" s="395"/>
      <c r="G256" s="402"/>
      <c r="H256" s="402"/>
      <c r="I256" s="310"/>
      <c r="J256" s="396"/>
      <c r="K256" s="306"/>
      <c r="L256" s="307"/>
      <c r="M256" s="307"/>
      <c r="N256" s="308"/>
      <c r="O256" s="309"/>
      <c r="P256" s="398"/>
      <c r="Q256" s="396"/>
      <c r="R256" s="401"/>
      <c r="S256" s="398"/>
      <c r="T256" s="306"/>
      <c r="U256" s="306"/>
      <c r="V256" s="306"/>
      <c r="W256" s="310"/>
      <c r="X256" s="306"/>
      <c r="Y256" s="310"/>
      <c r="Z256" s="306"/>
      <c r="AA256" s="306"/>
      <c r="AB256" s="311"/>
      <c r="AC256" s="311"/>
      <c r="AD256" s="311"/>
    </row>
    <row r="257" spans="1:30" ht="15.75" hidden="1" customHeight="1" x14ac:dyDescent="0.15">
      <c r="A257" s="290"/>
      <c r="B257" s="303"/>
      <c r="C257" s="303"/>
      <c r="D257" s="393" t="s">
        <v>239</v>
      </c>
      <c r="E257" s="394"/>
      <c r="F257" s="395"/>
      <c r="G257" s="402"/>
      <c r="H257" s="402"/>
      <c r="I257" s="310"/>
      <c r="J257" s="396"/>
      <c r="K257" s="397"/>
      <c r="L257" s="398"/>
      <c r="M257" s="398"/>
      <c r="N257" s="399"/>
      <c r="O257" s="400"/>
      <c r="P257" s="398"/>
      <c r="Q257" s="396"/>
      <c r="R257" s="401"/>
      <c r="S257" s="398"/>
      <c r="T257" s="306"/>
      <c r="U257" s="306"/>
      <c r="V257" s="306"/>
      <c r="W257" s="310"/>
      <c r="X257" s="306"/>
      <c r="Y257" s="310"/>
      <c r="Z257" s="306"/>
      <c r="AA257" s="306"/>
      <c r="AB257" s="311"/>
      <c r="AC257" s="311"/>
      <c r="AD257" s="311"/>
    </row>
    <row r="258" spans="1:30" ht="15.75" hidden="1" customHeight="1" x14ac:dyDescent="0.15">
      <c r="A258" s="290"/>
      <c r="B258" s="303"/>
      <c r="C258" s="303"/>
      <c r="D258" s="393" t="s">
        <v>234</v>
      </c>
      <c r="E258" s="394"/>
      <c r="F258" s="395"/>
      <c r="G258" s="402"/>
      <c r="H258" s="402"/>
      <c r="I258" s="310"/>
      <c r="J258" s="396"/>
      <c r="K258" s="306"/>
      <c r="L258" s="307"/>
      <c r="M258" s="307"/>
      <c r="N258" s="308"/>
      <c r="O258" s="309"/>
      <c r="P258" s="398"/>
      <c r="Q258" s="396"/>
      <c r="R258" s="401"/>
      <c r="S258" s="398"/>
      <c r="T258" s="306"/>
      <c r="U258" s="306"/>
      <c r="V258" s="306"/>
      <c r="W258" s="310"/>
      <c r="X258" s="306"/>
      <c r="Y258" s="310"/>
      <c r="Z258" s="306"/>
      <c r="AA258" s="306"/>
      <c r="AB258" s="311"/>
      <c r="AC258" s="311"/>
      <c r="AD258" s="311"/>
    </row>
    <row r="259" spans="1:30" ht="15.75" hidden="1" customHeight="1" x14ac:dyDescent="0.15">
      <c r="A259" s="290"/>
      <c r="B259" s="303"/>
      <c r="C259" s="303"/>
      <c r="D259" s="364" t="s">
        <v>275</v>
      </c>
      <c r="E259" s="302" t="s">
        <v>286</v>
      </c>
      <c r="F259" s="303" t="s">
        <v>240</v>
      </c>
      <c r="G259" s="345" t="s">
        <v>19</v>
      </c>
      <c r="H259" s="345" t="s">
        <v>227</v>
      </c>
      <c r="I259" s="331">
        <f t="shared" ref="I259:I264" si="24">J259/$J$265</f>
        <v>5.9863490648281135E-2</v>
      </c>
      <c r="J259" s="305">
        <v>2500000</v>
      </c>
      <c r="K259" s="346">
        <v>4</v>
      </c>
      <c r="L259" s="334">
        <f>J259/K259</f>
        <v>625000</v>
      </c>
      <c r="M259" s="334">
        <v>10</v>
      </c>
      <c r="N259" s="347">
        <f>L259/M259</f>
        <v>62500</v>
      </c>
      <c r="O259" s="348">
        <v>0.2</v>
      </c>
      <c r="P259" s="334">
        <f>L259*O259</f>
        <v>125000</v>
      </c>
      <c r="Q259" s="305">
        <f>J259*1000/P259</f>
        <v>20000</v>
      </c>
      <c r="R259" s="333">
        <v>1.1000000000000001</v>
      </c>
      <c r="S259" s="334">
        <f>P259/R259</f>
        <v>113636.36363636363</v>
      </c>
      <c r="T259" s="306"/>
      <c r="U259" s="306"/>
      <c r="V259" s="306"/>
      <c r="W259" s="310"/>
      <c r="X259" s="306"/>
      <c r="Y259" s="310"/>
      <c r="Z259" s="306"/>
      <c r="AA259" s="306"/>
      <c r="AB259" s="311"/>
      <c r="AC259" s="311"/>
      <c r="AD259" s="311"/>
    </row>
    <row r="260" spans="1:30" ht="15.75" hidden="1" customHeight="1" x14ac:dyDescent="0.15">
      <c r="A260" s="290"/>
      <c r="B260" s="303"/>
      <c r="C260" s="303"/>
      <c r="D260" s="364" t="s">
        <v>276</v>
      </c>
      <c r="E260" s="302" t="s">
        <v>286</v>
      </c>
      <c r="F260" s="303" t="s">
        <v>240</v>
      </c>
      <c r="G260" s="345" t="s">
        <v>22</v>
      </c>
      <c r="H260" s="345" t="s">
        <v>227</v>
      </c>
      <c r="I260" s="331">
        <f t="shared" si="24"/>
        <v>2.3945396259312454E-2</v>
      </c>
      <c r="J260" s="305">
        <v>1000000</v>
      </c>
      <c r="K260" s="306"/>
      <c r="L260" s="307"/>
      <c r="M260" s="307"/>
      <c r="N260" s="308"/>
      <c r="O260" s="309"/>
      <c r="P260" s="334">
        <f>J260/Q260*1000</f>
        <v>2631578.9473684211</v>
      </c>
      <c r="Q260" s="305">
        <v>380</v>
      </c>
      <c r="R260" s="333">
        <v>1.1000000000000001</v>
      </c>
      <c r="S260" s="334">
        <f>P260/R260</f>
        <v>2392344.4976076554</v>
      </c>
      <c r="T260" s="306"/>
      <c r="U260" s="306"/>
      <c r="V260" s="306"/>
      <c r="W260" s="310"/>
      <c r="X260" s="306"/>
      <c r="Y260" s="310"/>
      <c r="Z260" s="306"/>
      <c r="AA260" s="306"/>
      <c r="AB260" s="311"/>
      <c r="AC260" s="311"/>
      <c r="AD260" s="311"/>
    </row>
    <row r="261" spans="1:30" ht="15.75" hidden="1" customHeight="1" x14ac:dyDescent="0.15">
      <c r="A261" s="290"/>
      <c r="B261" s="303"/>
      <c r="C261" s="303"/>
      <c r="D261" s="301" t="s">
        <v>242</v>
      </c>
      <c r="E261" s="302" t="s">
        <v>286</v>
      </c>
      <c r="F261" s="303" t="s">
        <v>243</v>
      </c>
      <c r="G261" s="345" t="s">
        <v>25</v>
      </c>
      <c r="H261" s="345" t="s">
        <v>227</v>
      </c>
      <c r="I261" s="331">
        <f t="shared" si="24"/>
        <v>2.3945396259312454E-2</v>
      </c>
      <c r="J261" s="305">
        <v>1000000</v>
      </c>
      <c r="K261" s="346">
        <v>4</v>
      </c>
      <c r="L261" s="334">
        <f>J261/K261</f>
        <v>250000</v>
      </c>
      <c r="M261" s="334">
        <f>L261/N261</f>
        <v>0.625</v>
      </c>
      <c r="N261" s="347">
        <v>400000</v>
      </c>
      <c r="O261" s="348">
        <v>0.6</v>
      </c>
      <c r="P261" s="334">
        <f>N261*O261</f>
        <v>240000</v>
      </c>
      <c r="Q261" s="305">
        <f>J261*1000/P261</f>
        <v>4166.666666666667</v>
      </c>
      <c r="R261" s="333">
        <v>1.1000000000000001</v>
      </c>
      <c r="S261" s="334">
        <f>P261/R261</f>
        <v>218181.81818181818</v>
      </c>
      <c r="T261" s="306"/>
      <c r="U261" s="306"/>
      <c r="V261" s="306"/>
      <c r="W261" s="310"/>
      <c r="X261" s="306"/>
      <c r="Y261" s="310"/>
      <c r="Z261" s="306"/>
      <c r="AA261" s="306"/>
      <c r="AB261" s="311"/>
      <c r="AC261" s="311"/>
      <c r="AD261" s="311"/>
    </row>
    <row r="262" spans="1:30" ht="15.75" hidden="1" customHeight="1" x14ac:dyDescent="0.15">
      <c r="A262" s="290"/>
      <c r="B262" s="303"/>
      <c r="C262" s="303"/>
      <c r="D262" s="301" t="s">
        <v>244</v>
      </c>
      <c r="E262" s="302" t="s">
        <v>286</v>
      </c>
      <c r="F262" s="303" t="s">
        <v>243</v>
      </c>
      <c r="G262" s="345" t="s">
        <v>25</v>
      </c>
      <c r="H262" s="345" t="s">
        <v>245</v>
      </c>
      <c r="I262" s="331">
        <f t="shared" si="24"/>
        <v>2.3945396259312454E-2</v>
      </c>
      <c r="J262" s="305">
        <v>1000000</v>
      </c>
      <c r="K262" s="306"/>
      <c r="L262" s="306"/>
      <c r="M262" s="306"/>
      <c r="N262" s="306"/>
      <c r="O262" s="306"/>
      <c r="P262" s="306"/>
      <c r="Q262" s="306"/>
      <c r="R262" s="306"/>
      <c r="S262" s="306"/>
      <c r="T262" s="306"/>
      <c r="U262" s="306"/>
      <c r="V262" s="306"/>
      <c r="W262" s="310"/>
      <c r="X262" s="306"/>
      <c r="Y262" s="310"/>
      <c r="Z262" s="306"/>
      <c r="AA262" s="332">
        <v>1000</v>
      </c>
      <c r="AB262" s="340"/>
      <c r="AC262" s="340">
        <f>AA262*50000</f>
        <v>50000000</v>
      </c>
      <c r="AD262" s="340"/>
    </row>
    <row r="263" spans="1:30" ht="15.75" hidden="1" customHeight="1" x14ac:dyDescent="0.15">
      <c r="A263" s="290"/>
      <c r="B263" s="403"/>
      <c r="C263" s="403"/>
      <c r="D263" s="404" t="s">
        <v>277</v>
      </c>
      <c r="E263" s="302" t="s">
        <v>286</v>
      </c>
      <c r="F263" s="303" t="s">
        <v>210</v>
      </c>
      <c r="G263" s="303" t="s">
        <v>25</v>
      </c>
      <c r="H263" s="303" t="s">
        <v>227</v>
      </c>
      <c r="I263" s="331">
        <f t="shared" si="24"/>
        <v>0.11972698129656227</v>
      </c>
      <c r="J263" s="361">
        <v>5000000</v>
      </c>
      <c r="K263" s="359">
        <v>2</v>
      </c>
      <c r="L263" s="332">
        <f>M263*N263</f>
        <v>1000000</v>
      </c>
      <c r="M263" s="332">
        <v>100</v>
      </c>
      <c r="N263" s="332">
        <v>10000</v>
      </c>
      <c r="O263" s="360">
        <v>0.2</v>
      </c>
      <c r="P263" s="332">
        <f>N263*O263</f>
        <v>2000</v>
      </c>
      <c r="Q263" s="361">
        <f>J263*1000/P263</f>
        <v>2500000</v>
      </c>
      <c r="R263" s="362">
        <v>1.1000000000000001</v>
      </c>
      <c r="S263" s="332">
        <f>P263/R263</f>
        <v>1818.181818181818</v>
      </c>
      <c r="T263" s="306"/>
      <c r="U263" s="306"/>
      <c r="V263" s="306"/>
      <c r="W263" s="310"/>
      <c r="X263" s="306"/>
      <c r="Y263" s="310"/>
      <c r="Z263" s="306"/>
      <c r="AA263" s="332">
        <f>J263*5/70000</f>
        <v>357.14285714285717</v>
      </c>
      <c r="AB263" s="340"/>
      <c r="AC263" s="340">
        <f>AA263*50000</f>
        <v>17857142.857142858</v>
      </c>
      <c r="AD263" s="340"/>
    </row>
    <row r="264" spans="1:30" ht="15.75" hidden="1" customHeight="1" x14ac:dyDescent="0.15">
      <c r="A264" s="290"/>
      <c r="B264" s="403"/>
      <c r="C264" s="403"/>
      <c r="D264" s="405" t="s">
        <v>278</v>
      </c>
      <c r="E264" s="302" t="s">
        <v>286</v>
      </c>
      <c r="F264" s="406" t="s">
        <v>210</v>
      </c>
      <c r="G264" s="406" t="s">
        <v>25</v>
      </c>
      <c r="H264" s="406" t="s">
        <v>279</v>
      </c>
      <c r="I264" s="331">
        <f t="shared" si="24"/>
        <v>0.58095556546203209</v>
      </c>
      <c r="J264" s="407">
        <v>24261681</v>
      </c>
      <c r="K264" s="408"/>
      <c r="L264" s="408"/>
      <c r="M264" s="408"/>
      <c r="N264" s="408"/>
      <c r="O264" s="408"/>
      <c r="P264" s="408"/>
      <c r="Q264" s="408"/>
      <c r="R264" s="408"/>
      <c r="S264" s="408"/>
      <c r="T264" s="306"/>
      <c r="U264" s="306"/>
      <c r="V264" s="306"/>
      <c r="W264" s="310"/>
      <c r="X264" s="306"/>
      <c r="Y264" s="310"/>
      <c r="Z264" s="306"/>
      <c r="AA264" s="409">
        <v>3134</v>
      </c>
      <c r="AB264" s="410"/>
      <c r="AC264" s="410">
        <f>AA264*50000</f>
        <v>156700000</v>
      </c>
      <c r="AD264" s="340"/>
    </row>
    <row r="265" spans="1:30" ht="15.75" hidden="1" customHeight="1" x14ac:dyDescent="0.15">
      <c r="A265" s="290"/>
      <c r="B265" s="313"/>
      <c r="C265" s="313"/>
      <c r="D265" s="314" t="s">
        <v>27</v>
      </c>
      <c r="E265" s="315"/>
      <c r="F265" s="315"/>
      <c r="G265" s="315"/>
      <c r="H265" s="315"/>
      <c r="I265" s="316">
        <f>J265/J265</f>
        <v>1</v>
      </c>
      <c r="J265" s="317">
        <f>SUM(J243:J264)</f>
        <v>41761681</v>
      </c>
      <c r="K265" s="315"/>
      <c r="L265" s="318"/>
      <c r="M265" s="318">
        <f>SUM(M243:M264)</f>
        <v>113.625</v>
      </c>
      <c r="N265" s="318"/>
      <c r="O265" s="318"/>
      <c r="P265" s="318">
        <f>SUM(P243:P264)</f>
        <v>15437760.233918127</v>
      </c>
      <c r="Q265" s="318">
        <f>J265/P265*1000</f>
        <v>2705.164503607582</v>
      </c>
      <c r="R265" s="319">
        <f>P265/T265</f>
        <v>5.4999999999999991</v>
      </c>
      <c r="S265" s="318">
        <f>SUM(S243:S264)</f>
        <v>14034327.485380117</v>
      </c>
      <c r="T265" s="318">
        <f>S265/5</f>
        <v>2806865.4970760234</v>
      </c>
      <c r="U265" s="318"/>
      <c r="V265" s="318"/>
      <c r="W265" s="320"/>
      <c r="X265" s="318"/>
      <c r="Y265" s="320"/>
      <c r="Z265" s="318"/>
      <c r="AA265" s="318">
        <f>SUM(AA246:AA264)</f>
        <v>4491.1428571428569</v>
      </c>
      <c r="AB265" s="317"/>
      <c r="AC265" s="317">
        <f>SUM(AC246:AC264)</f>
        <v>224557142.85714287</v>
      </c>
      <c r="AD265" s="317"/>
    </row>
    <row r="266" spans="1:30" ht="15.75" hidden="1" customHeight="1" x14ac:dyDescent="0.15">
      <c r="A266" s="290"/>
      <c r="B266" s="290"/>
      <c r="C266" s="290"/>
      <c r="D266" s="290"/>
      <c r="E266" s="290"/>
      <c r="F266" s="290"/>
      <c r="G266" s="290"/>
      <c r="H266" s="290"/>
      <c r="I266" s="290"/>
      <c r="J266" s="290"/>
      <c r="K266" s="290"/>
      <c r="L266" s="290"/>
      <c r="M266" s="290"/>
      <c r="N266" s="290"/>
      <c r="O266" s="290"/>
      <c r="P266" s="290"/>
      <c r="Q266" s="290"/>
      <c r="R266" s="290"/>
      <c r="S266" s="290"/>
      <c r="T266" s="290"/>
      <c r="U266" s="290"/>
      <c r="V266" s="290"/>
      <c r="W266" s="291"/>
      <c r="X266" s="290"/>
      <c r="Y266" s="291"/>
      <c r="Z266" s="290"/>
      <c r="AA266" s="290"/>
      <c r="AB266" s="292"/>
      <c r="AC266" s="292"/>
      <c r="AD266" s="292"/>
    </row>
    <row r="267" spans="1:30" ht="15.75" hidden="1" customHeight="1" x14ac:dyDescent="0.15">
      <c r="A267" s="290"/>
      <c r="B267" s="390"/>
      <c r="C267" s="390"/>
      <c r="D267" s="295" t="s">
        <v>147</v>
      </c>
      <c r="E267" s="392"/>
      <c r="F267" s="296"/>
      <c r="G267" s="296"/>
      <c r="H267" s="296"/>
      <c r="I267" s="296"/>
      <c r="J267" s="296"/>
      <c r="K267" s="296"/>
      <c r="L267" s="296"/>
      <c r="M267" s="296"/>
      <c r="N267" s="296"/>
      <c r="O267" s="296"/>
      <c r="P267" s="296"/>
      <c r="Q267" s="296"/>
      <c r="R267" s="296"/>
      <c r="S267" s="296"/>
      <c r="T267" s="296"/>
      <c r="U267" s="296"/>
      <c r="V267" s="296"/>
      <c r="W267" s="297"/>
      <c r="X267" s="296"/>
      <c r="Y267" s="297"/>
      <c r="Z267" s="296"/>
      <c r="AA267" s="296"/>
      <c r="AB267" s="298"/>
      <c r="AC267" s="298"/>
      <c r="AD267" s="299"/>
    </row>
    <row r="268" spans="1:30" ht="15.75" hidden="1" customHeight="1" x14ac:dyDescent="0.15">
      <c r="A268" s="290"/>
      <c r="B268" s="303"/>
      <c r="C268" s="303"/>
      <c r="D268" s="301" t="s">
        <v>264</v>
      </c>
      <c r="E268" s="302" t="s">
        <v>287</v>
      </c>
      <c r="F268" s="303" t="s">
        <v>224</v>
      </c>
      <c r="G268" s="303" t="s">
        <v>22</v>
      </c>
      <c r="H268" s="303" t="s">
        <v>227</v>
      </c>
      <c r="I268" s="331">
        <f>J268/$J$290</f>
        <v>1.5654896694354284E-2</v>
      </c>
      <c r="J268" s="305">
        <v>1000000</v>
      </c>
      <c r="K268" s="306"/>
      <c r="L268" s="307"/>
      <c r="M268" s="307"/>
      <c r="N268" s="308"/>
      <c r="O268" s="309"/>
      <c r="P268" s="334">
        <f>J268/Q268*1000</f>
        <v>2631578.9473684211</v>
      </c>
      <c r="Q268" s="305">
        <v>380</v>
      </c>
      <c r="R268" s="333">
        <v>1.1000000000000001</v>
      </c>
      <c r="S268" s="334">
        <f>P268/R268</f>
        <v>2392344.4976076554</v>
      </c>
      <c r="T268" s="306"/>
      <c r="U268" s="306"/>
      <c r="V268" s="306"/>
      <c r="W268" s="310"/>
      <c r="X268" s="306"/>
      <c r="Y268" s="310"/>
      <c r="Z268" s="306"/>
      <c r="AA268" s="306"/>
      <c r="AB268" s="311"/>
      <c r="AC268" s="311"/>
      <c r="AD268" s="311"/>
    </row>
    <row r="269" spans="1:30" ht="15.75" hidden="1" customHeight="1" x14ac:dyDescent="0.15">
      <c r="A269" s="290"/>
      <c r="B269" s="303"/>
      <c r="C269" s="303"/>
      <c r="D269" s="301" t="s">
        <v>265</v>
      </c>
      <c r="E269" s="302" t="s">
        <v>287</v>
      </c>
      <c r="F269" s="303" t="s">
        <v>224</v>
      </c>
      <c r="G269" s="303" t="s">
        <v>22</v>
      </c>
      <c r="H269" s="303" t="s">
        <v>48</v>
      </c>
      <c r="I269" s="331">
        <f>J269/$J$290</f>
        <v>1.5654896694354284E-2</v>
      </c>
      <c r="J269" s="305">
        <v>1000000</v>
      </c>
      <c r="K269" s="306"/>
      <c r="L269" s="307"/>
      <c r="M269" s="307"/>
      <c r="N269" s="308"/>
      <c r="O269" s="309"/>
      <c r="P269" s="334">
        <f>J269/Q269*1000</f>
        <v>2631578.9473684211</v>
      </c>
      <c r="Q269" s="305">
        <v>380</v>
      </c>
      <c r="R269" s="333">
        <v>1.1000000000000001</v>
      </c>
      <c r="S269" s="334">
        <f>P269/R269</f>
        <v>2392344.4976076554</v>
      </c>
      <c r="T269" s="306"/>
      <c r="U269" s="306"/>
      <c r="V269" s="306"/>
      <c r="W269" s="310"/>
      <c r="X269" s="306"/>
      <c r="Y269" s="310"/>
      <c r="Z269" s="306"/>
      <c r="AA269" s="306"/>
      <c r="AB269" s="311"/>
      <c r="AC269" s="311"/>
      <c r="AD269" s="311"/>
    </row>
    <row r="270" spans="1:30" ht="15.75" hidden="1" customHeight="1" x14ac:dyDescent="0.15">
      <c r="A270" s="290"/>
      <c r="B270" s="303"/>
      <c r="C270" s="303"/>
      <c r="D270" s="301" t="s">
        <v>266</v>
      </c>
      <c r="E270" s="302" t="s">
        <v>287</v>
      </c>
      <c r="F270" s="303" t="s">
        <v>224</v>
      </c>
      <c r="G270" s="303" t="s">
        <v>22</v>
      </c>
      <c r="H270" s="303" t="s">
        <v>65</v>
      </c>
      <c r="I270" s="331">
        <f>J270/$J$290</f>
        <v>1.5654896694354284E-2</v>
      </c>
      <c r="J270" s="305">
        <v>1000000</v>
      </c>
      <c r="K270" s="306"/>
      <c r="L270" s="307"/>
      <c r="M270" s="307"/>
      <c r="N270" s="308"/>
      <c r="O270" s="309"/>
      <c r="P270" s="334">
        <f>J270/Q270*1000</f>
        <v>2222222.222222222</v>
      </c>
      <c r="Q270" s="305">
        <v>450</v>
      </c>
      <c r="R270" s="333">
        <v>1.1000000000000001</v>
      </c>
      <c r="S270" s="334">
        <f>P270/R270</f>
        <v>2020202.02020202</v>
      </c>
      <c r="T270" s="306"/>
      <c r="U270" s="306"/>
      <c r="V270" s="306"/>
      <c r="W270" s="310"/>
      <c r="X270" s="306"/>
      <c r="Y270" s="310"/>
      <c r="Z270" s="306"/>
      <c r="AA270" s="306"/>
      <c r="AB270" s="311"/>
      <c r="AC270" s="311"/>
      <c r="AD270" s="311"/>
    </row>
    <row r="271" spans="1:30" ht="15.75" hidden="1" customHeight="1" x14ac:dyDescent="0.15">
      <c r="A271" s="290"/>
      <c r="B271" s="303"/>
      <c r="C271" s="303"/>
      <c r="D271" s="301" t="s">
        <v>267</v>
      </c>
      <c r="E271" s="302" t="s">
        <v>287</v>
      </c>
      <c r="F271" s="303" t="s">
        <v>224</v>
      </c>
      <c r="G271" s="303" t="s">
        <v>22</v>
      </c>
      <c r="H271" s="303" t="s">
        <v>58</v>
      </c>
      <c r="I271" s="331">
        <f>J271/$J$290</f>
        <v>1.5654896694354284E-2</v>
      </c>
      <c r="J271" s="305">
        <v>1000000</v>
      </c>
      <c r="K271" s="306"/>
      <c r="L271" s="307"/>
      <c r="M271" s="307"/>
      <c r="N271" s="308"/>
      <c r="O271" s="309"/>
      <c r="P271" s="334">
        <f>J271/Q271*1000</f>
        <v>2222222.222222222</v>
      </c>
      <c r="Q271" s="305">
        <v>450</v>
      </c>
      <c r="R271" s="333">
        <v>1.1000000000000001</v>
      </c>
      <c r="S271" s="334">
        <f>P271/R271</f>
        <v>2020202.02020202</v>
      </c>
      <c r="T271" s="306"/>
      <c r="U271" s="306"/>
      <c r="V271" s="306"/>
      <c r="W271" s="310"/>
      <c r="X271" s="306"/>
      <c r="Y271" s="310"/>
      <c r="Z271" s="306"/>
      <c r="AA271" s="306"/>
      <c r="AB271" s="311"/>
      <c r="AC271" s="311"/>
      <c r="AD271" s="311"/>
    </row>
    <row r="272" spans="1:30" ht="15.75" hidden="1" customHeight="1" x14ac:dyDescent="0.15">
      <c r="A272" s="290"/>
      <c r="B272" s="303"/>
      <c r="C272" s="303"/>
      <c r="D272" s="393" t="s">
        <v>268</v>
      </c>
      <c r="E272" s="394"/>
      <c r="F272" s="395"/>
      <c r="G272" s="395"/>
      <c r="H272" s="395"/>
      <c r="I272" s="310"/>
      <c r="J272" s="396"/>
      <c r="K272" s="397"/>
      <c r="L272" s="398"/>
      <c r="M272" s="398"/>
      <c r="N272" s="399"/>
      <c r="O272" s="400"/>
      <c r="P272" s="398"/>
      <c r="Q272" s="396"/>
      <c r="R272" s="401"/>
      <c r="S272" s="398"/>
      <c r="T272" s="306"/>
      <c r="U272" s="306"/>
      <c r="V272" s="306"/>
      <c r="W272" s="310"/>
      <c r="X272" s="306"/>
      <c r="Y272" s="310"/>
      <c r="Z272" s="306"/>
      <c r="AA272" s="306"/>
      <c r="AB272" s="311"/>
      <c r="AC272" s="311"/>
      <c r="AD272" s="311"/>
    </row>
    <row r="273" spans="1:30" ht="15.75" hidden="1" customHeight="1" x14ac:dyDescent="0.15">
      <c r="A273" s="290"/>
      <c r="B273" s="303"/>
      <c r="C273" s="303"/>
      <c r="D273" s="393" t="s">
        <v>233</v>
      </c>
      <c r="E273" s="394"/>
      <c r="F273" s="395"/>
      <c r="G273" s="395"/>
      <c r="H273" s="395"/>
      <c r="I273" s="310"/>
      <c r="J273" s="396"/>
      <c r="K273" s="306"/>
      <c r="L273" s="307"/>
      <c r="M273" s="307"/>
      <c r="N273" s="308"/>
      <c r="O273" s="309"/>
      <c r="P273" s="398"/>
      <c r="Q273" s="396"/>
      <c r="R273" s="401"/>
      <c r="S273" s="398"/>
      <c r="T273" s="306"/>
      <c r="U273" s="306"/>
      <c r="V273" s="306"/>
      <c r="W273" s="310"/>
      <c r="X273" s="306"/>
      <c r="Y273" s="310"/>
      <c r="Z273" s="306"/>
      <c r="AA273" s="306"/>
      <c r="AB273" s="311"/>
      <c r="AC273" s="311"/>
      <c r="AD273" s="311"/>
    </row>
    <row r="274" spans="1:30" ht="15.75" hidden="1" customHeight="1" x14ac:dyDescent="0.15">
      <c r="A274" s="290"/>
      <c r="B274" s="303"/>
      <c r="C274" s="303"/>
      <c r="D274" s="393" t="s">
        <v>269</v>
      </c>
      <c r="E274" s="394"/>
      <c r="F274" s="395"/>
      <c r="G274" s="395"/>
      <c r="H274" s="395"/>
      <c r="I274" s="310"/>
      <c r="J274" s="396"/>
      <c r="K274" s="397"/>
      <c r="L274" s="398"/>
      <c r="M274" s="398"/>
      <c r="N274" s="399"/>
      <c r="O274" s="400"/>
      <c r="P274" s="398"/>
      <c r="Q274" s="396"/>
      <c r="R274" s="401"/>
      <c r="S274" s="398"/>
      <c r="T274" s="306"/>
      <c r="U274" s="306"/>
      <c r="V274" s="306"/>
      <c r="W274" s="310"/>
      <c r="X274" s="306"/>
      <c r="Y274" s="310"/>
      <c r="Z274" s="306"/>
      <c r="AA274" s="306"/>
      <c r="AB274" s="311"/>
      <c r="AC274" s="311"/>
      <c r="AD274" s="311"/>
    </row>
    <row r="275" spans="1:30" ht="15.75" hidden="1" customHeight="1" x14ac:dyDescent="0.15">
      <c r="A275" s="290"/>
      <c r="B275" s="303"/>
      <c r="C275" s="303"/>
      <c r="D275" s="393" t="s">
        <v>270</v>
      </c>
      <c r="E275" s="394"/>
      <c r="F275" s="395"/>
      <c r="G275" s="395"/>
      <c r="H275" s="395"/>
      <c r="I275" s="310"/>
      <c r="J275" s="396"/>
      <c r="K275" s="306"/>
      <c r="L275" s="307"/>
      <c r="M275" s="307"/>
      <c r="N275" s="308"/>
      <c r="O275" s="309"/>
      <c r="P275" s="398"/>
      <c r="Q275" s="396"/>
      <c r="R275" s="401"/>
      <c r="S275" s="398"/>
      <c r="T275" s="306"/>
      <c r="U275" s="306"/>
      <c r="V275" s="306"/>
      <c r="W275" s="310"/>
      <c r="X275" s="306"/>
      <c r="Y275" s="310"/>
      <c r="Z275" s="306"/>
      <c r="AA275" s="306"/>
      <c r="AB275" s="311"/>
      <c r="AC275" s="311"/>
      <c r="AD275" s="311"/>
    </row>
    <row r="276" spans="1:30" ht="15.75" hidden="1" customHeight="1" x14ac:dyDescent="0.15">
      <c r="A276" s="290"/>
      <c r="B276" s="303"/>
      <c r="C276" s="303"/>
      <c r="D276" s="393" t="s">
        <v>271</v>
      </c>
      <c r="E276" s="394"/>
      <c r="F276" s="395"/>
      <c r="G276" s="395"/>
      <c r="H276" s="395"/>
      <c r="I276" s="310"/>
      <c r="J276" s="396"/>
      <c r="K276" s="397"/>
      <c r="L276" s="398"/>
      <c r="M276" s="398"/>
      <c r="N276" s="399"/>
      <c r="O276" s="400"/>
      <c r="P276" s="398"/>
      <c r="Q276" s="396"/>
      <c r="R276" s="401"/>
      <c r="S276" s="398"/>
      <c r="T276" s="306"/>
      <c r="U276" s="306"/>
      <c r="V276" s="306"/>
      <c r="W276" s="310"/>
      <c r="X276" s="306"/>
      <c r="Y276" s="310"/>
      <c r="Z276" s="306"/>
      <c r="AA276" s="306"/>
      <c r="AB276" s="311"/>
      <c r="AC276" s="311"/>
      <c r="AD276" s="311"/>
    </row>
    <row r="277" spans="1:30" ht="15.75" hidden="1" customHeight="1" x14ac:dyDescent="0.15">
      <c r="A277" s="290"/>
      <c r="B277" s="303"/>
      <c r="C277" s="303"/>
      <c r="D277" s="393" t="s">
        <v>272</v>
      </c>
      <c r="E277" s="394"/>
      <c r="F277" s="395"/>
      <c r="G277" s="395"/>
      <c r="H277" s="395"/>
      <c r="I277" s="310"/>
      <c r="J277" s="396"/>
      <c r="K277" s="306"/>
      <c r="L277" s="307"/>
      <c r="M277" s="307"/>
      <c r="N277" s="308"/>
      <c r="O277" s="309"/>
      <c r="P277" s="398"/>
      <c r="Q277" s="396"/>
      <c r="R277" s="401"/>
      <c r="S277" s="398"/>
      <c r="T277" s="306"/>
      <c r="U277" s="306"/>
      <c r="V277" s="306"/>
      <c r="W277" s="310"/>
      <c r="X277" s="306"/>
      <c r="Y277" s="310"/>
      <c r="Z277" s="306"/>
      <c r="AA277" s="306"/>
      <c r="AB277" s="311"/>
      <c r="AC277" s="311"/>
      <c r="AD277" s="311"/>
    </row>
    <row r="278" spans="1:30" ht="15.75" hidden="1" customHeight="1" x14ac:dyDescent="0.15">
      <c r="A278" s="290"/>
      <c r="B278" s="303"/>
      <c r="C278" s="303"/>
      <c r="D278" s="301" t="s">
        <v>273</v>
      </c>
      <c r="E278" s="302" t="s">
        <v>287</v>
      </c>
      <c r="F278" s="303" t="s">
        <v>240</v>
      </c>
      <c r="G278" s="345" t="s">
        <v>19</v>
      </c>
      <c r="H278" s="345" t="s">
        <v>227</v>
      </c>
      <c r="I278" s="331">
        <f>J278/$J$290</f>
        <v>4.6964690083062845E-2</v>
      </c>
      <c r="J278" s="305">
        <v>3000000</v>
      </c>
      <c r="K278" s="346">
        <v>4</v>
      </c>
      <c r="L278" s="334">
        <f>J278/K278</f>
        <v>750000</v>
      </c>
      <c r="M278" s="334">
        <v>3</v>
      </c>
      <c r="N278" s="347">
        <f>L278/M278</f>
        <v>250000</v>
      </c>
      <c r="O278" s="348">
        <v>0.2</v>
      </c>
      <c r="P278" s="334">
        <f>L278*O278</f>
        <v>150000</v>
      </c>
      <c r="Q278" s="305">
        <f>J278*1000/P278</f>
        <v>20000</v>
      </c>
      <c r="R278" s="333">
        <v>1.1000000000000001</v>
      </c>
      <c r="S278" s="334">
        <f>P278/R278</f>
        <v>136363.63636363635</v>
      </c>
      <c r="T278" s="306"/>
      <c r="U278" s="306"/>
      <c r="V278" s="306"/>
      <c r="W278" s="310"/>
      <c r="X278" s="306"/>
      <c r="Y278" s="310"/>
      <c r="Z278" s="306"/>
      <c r="AA278" s="306"/>
      <c r="AB278" s="311"/>
      <c r="AC278" s="311"/>
      <c r="AD278" s="311"/>
    </row>
    <row r="279" spans="1:30" ht="15.75" hidden="1" customHeight="1" x14ac:dyDescent="0.15">
      <c r="A279" s="290"/>
      <c r="B279" s="303"/>
      <c r="C279" s="303"/>
      <c r="D279" s="301" t="s">
        <v>274</v>
      </c>
      <c r="E279" s="302" t="s">
        <v>287</v>
      </c>
      <c r="F279" s="303" t="s">
        <v>240</v>
      </c>
      <c r="G279" s="345" t="s">
        <v>22</v>
      </c>
      <c r="H279" s="345" t="s">
        <v>227</v>
      </c>
      <c r="I279" s="331">
        <f>J279/$J$290</f>
        <v>1.5654896694354284E-2</v>
      </c>
      <c r="J279" s="305">
        <v>1000000</v>
      </c>
      <c r="K279" s="306"/>
      <c r="L279" s="307"/>
      <c r="M279" s="307"/>
      <c r="N279" s="308"/>
      <c r="O279" s="309"/>
      <c r="P279" s="334">
        <f>J279/Q279*1000</f>
        <v>2631578.9473684211</v>
      </c>
      <c r="Q279" s="305">
        <v>380</v>
      </c>
      <c r="R279" s="333">
        <v>1.1000000000000001</v>
      </c>
      <c r="S279" s="334">
        <f>P279/R279</f>
        <v>2392344.4976076554</v>
      </c>
      <c r="T279" s="306"/>
      <c r="U279" s="306"/>
      <c r="V279" s="306"/>
      <c r="W279" s="310"/>
      <c r="X279" s="306"/>
      <c r="Y279" s="310"/>
      <c r="Z279" s="306"/>
      <c r="AA279" s="306"/>
      <c r="AB279" s="311"/>
      <c r="AC279" s="311"/>
      <c r="AD279" s="311"/>
    </row>
    <row r="280" spans="1:30" ht="15.75" hidden="1" customHeight="1" x14ac:dyDescent="0.15">
      <c r="A280" s="290"/>
      <c r="B280" s="303"/>
      <c r="C280" s="303"/>
      <c r="D280" s="393" t="s">
        <v>241</v>
      </c>
      <c r="E280" s="394"/>
      <c r="F280" s="395"/>
      <c r="G280" s="402"/>
      <c r="H280" s="402"/>
      <c r="I280" s="310"/>
      <c r="J280" s="396"/>
      <c r="K280" s="397"/>
      <c r="L280" s="398"/>
      <c r="M280" s="398"/>
      <c r="N280" s="399"/>
      <c r="O280" s="400"/>
      <c r="P280" s="398"/>
      <c r="Q280" s="396"/>
      <c r="R280" s="401"/>
      <c r="S280" s="398"/>
      <c r="T280" s="306"/>
      <c r="U280" s="306"/>
      <c r="V280" s="306"/>
      <c r="W280" s="310"/>
      <c r="X280" s="306"/>
      <c r="Y280" s="310"/>
      <c r="Z280" s="306"/>
      <c r="AA280" s="306"/>
      <c r="AB280" s="311"/>
      <c r="AC280" s="311"/>
      <c r="AD280" s="311"/>
    </row>
    <row r="281" spans="1:30" ht="15.75" hidden="1" customHeight="1" x14ac:dyDescent="0.15">
      <c r="A281" s="290"/>
      <c r="B281" s="303"/>
      <c r="C281" s="303"/>
      <c r="D281" s="393" t="s">
        <v>235</v>
      </c>
      <c r="E281" s="394"/>
      <c r="F281" s="395"/>
      <c r="G281" s="402"/>
      <c r="H281" s="402"/>
      <c r="I281" s="310"/>
      <c r="J281" s="396"/>
      <c r="K281" s="306"/>
      <c r="L281" s="307"/>
      <c r="M281" s="307"/>
      <c r="N281" s="308"/>
      <c r="O281" s="309"/>
      <c r="P281" s="398"/>
      <c r="Q281" s="396"/>
      <c r="R281" s="401"/>
      <c r="S281" s="398"/>
      <c r="T281" s="306"/>
      <c r="U281" s="306"/>
      <c r="V281" s="306"/>
      <c r="W281" s="310"/>
      <c r="X281" s="306"/>
      <c r="Y281" s="310"/>
      <c r="Z281" s="306"/>
      <c r="AA281" s="306"/>
      <c r="AB281" s="311"/>
      <c r="AC281" s="311"/>
      <c r="AD281" s="311"/>
    </row>
    <row r="282" spans="1:30" ht="15.75" hidden="1" customHeight="1" x14ac:dyDescent="0.15">
      <c r="A282" s="290"/>
      <c r="B282" s="303"/>
      <c r="C282" s="303"/>
      <c r="D282" s="393" t="s">
        <v>239</v>
      </c>
      <c r="E282" s="394"/>
      <c r="F282" s="395"/>
      <c r="G282" s="402"/>
      <c r="H282" s="402"/>
      <c r="I282" s="310"/>
      <c r="J282" s="396"/>
      <c r="K282" s="397"/>
      <c r="L282" s="398"/>
      <c r="M282" s="398"/>
      <c r="N282" s="399"/>
      <c r="O282" s="400"/>
      <c r="P282" s="398"/>
      <c r="Q282" s="396"/>
      <c r="R282" s="401"/>
      <c r="S282" s="398"/>
      <c r="T282" s="306"/>
      <c r="U282" s="306"/>
      <c r="V282" s="306"/>
      <c r="W282" s="310"/>
      <c r="X282" s="306"/>
      <c r="Y282" s="310"/>
      <c r="Z282" s="306"/>
      <c r="AA282" s="306"/>
      <c r="AB282" s="311"/>
      <c r="AC282" s="311"/>
      <c r="AD282" s="311"/>
    </row>
    <row r="283" spans="1:30" ht="15.75" hidden="1" customHeight="1" x14ac:dyDescent="0.15">
      <c r="A283" s="290"/>
      <c r="B283" s="303"/>
      <c r="C283" s="303"/>
      <c r="D283" s="393" t="s">
        <v>234</v>
      </c>
      <c r="E283" s="394"/>
      <c r="F283" s="395"/>
      <c r="G283" s="402"/>
      <c r="H283" s="402"/>
      <c r="I283" s="310"/>
      <c r="J283" s="396"/>
      <c r="K283" s="306"/>
      <c r="L283" s="307"/>
      <c r="M283" s="307"/>
      <c r="N283" s="308"/>
      <c r="O283" s="309"/>
      <c r="P283" s="398"/>
      <c r="Q283" s="396"/>
      <c r="R283" s="401"/>
      <c r="S283" s="398"/>
      <c r="T283" s="306"/>
      <c r="U283" s="306"/>
      <c r="V283" s="306"/>
      <c r="W283" s="310"/>
      <c r="X283" s="306"/>
      <c r="Y283" s="310"/>
      <c r="Z283" s="306"/>
      <c r="AA283" s="306"/>
      <c r="AB283" s="311"/>
      <c r="AC283" s="311"/>
      <c r="AD283" s="311"/>
    </row>
    <row r="284" spans="1:30" ht="15.75" hidden="1" customHeight="1" x14ac:dyDescent="0.15">
      <c r="A284" s="290"/>
      <c r="B284" s="303"/>
      <c r="C284" s="303"/>
      <c r="D284" s="364" t="s">
        <v>275</v>
      </c>
      <c r="E284" s="302" t="s">
        <v>287</v>
      </c>
      <c r="F284" s="303" t="s">
        <v>240</v>
      </c>
      <c r="G284" s="345" t="s">
        <v>19</v>
      </c>
      <c r="H284" s="345" t="s">
        <v>227</v>
      </c>
      <c r="I284" s="331">
        <f t="shared" ref="I284:I289" si="25">J284/$J$290</f>
        <v>3.1309793388708568E-2</v>
      </c>
      <c r="J284" s="305">
        <v>2000000</v>
      </c>
      <c r="K284" s="346">
        <v>4</v>
      </c>
      <c r="L284" s="334">
        <f>J284/K284</f>
        <v>500000</v>
      </c>
      <c r="M284" s="334">
        <v>10</v>
      </c>
      <c r="N284" s="347">
        <f>L284/M284</f>
        <v>50000</v>
      </c>
      <c r="O284" s="348">
        <v>0.2</v>
      </c>
      <c r="P284" s="334">
        <f>L284*O284</f>
        <v>100000</v>
      </c>
      <c r="Q284" s="305">
        <f>J284*1000/P284</f>
        <v>20000</v>
      </c>
      <c r="R284" s="333">
        <v>1.1000000000000001</v>
      </c>
      <c r="S284" s="334">
        <f>P284/R284</f>
        <v>90909.090909090897</v>
      </c>
      <c r="T284" s="306"/>
      <c r="U284" s="306"/>
      <c r="V284" s="306"/>
      <c r="W284" s="310"/>
      <c r="X284" s="306"/>
      <c r="Y284" s="310"/>
      <c r="Z284" s="306"/>
      <c r="AA284" s="306"/>
      <c r="AB284" s="311"/>
      <c r="AC284" s="311"/>
      <c r="AD284" s="311"/>
    </row>
    <row r="285" spans="1:30" ht="15.75" hidden="1" customHeight="1" x14ac:dyDescent="0.15">
      <c r="A285" s="290"/>
      <c r="B285" s="303"/>
      <c r="C285" s="303"/>
      <c r="D285" s="364" t="s">
        <v>276</v>
      </c>
      <c r="E285" s="302" t="s">
        <v>287</v>
      </c>
      <c r="F285" s="303" t="s">
        <v>240</v>
      </c>
      <c r="G285" s="345" t="s">
        <v>22</v>
      </c>
      <c r="H285" s="345" t="s">
        <v>227</v>
      </c>
      <c r="I285" s="331">
        <f t="shared" si="25"/>
        <v>1.5654896694354284E-2</v>
      </c>
      <c r="J285" s="305">
        <v>1000000</v>
      </c>
      <c r="K285" s="306"/>
      <c r="L285" s="307"/>
      <c r="M285" s="307"/>
      <c r="N285" s="308"/>
      <c r="O285" s="309"/>
      <c r="P285" s="334">
        <f>J285/Q285*1000</f>
        <v>2631578.9473684211</v>
      </c>
      <c r="Q285" s="305">
        <v>380</v>
      </c>
      <c r="R285" s="333">
        <v>1.1000000000000001</v>
      </c>
      <c r="S285" s="334">
        <f>P285/R285</f>
        <v>2392344.4976076554</v>
      </c>
      <c r="T285" s="306"/>
      <c r="U285" s="306"/>
      <c r="V285" s="306"/>
      <c r="W285" s="310"/>
      <c r="X285" s="306"/>
      <c r="Y285" s="310"/>
      <c r="Z285" s="306"/>
      <c r="AA285" s="306"/>
      <c r="AB285" s="311"/>
      <c r="AC285" s="311"/>
      <c r="AD285" s="311"/>
    </row>
    <row r="286" spans="1:30" ht="15.75" hidden="1" customHeight="1" x14ac:dyDescent="0.15">
      <c r="A286" s="290"/>
      <c r="B286" s="303"/>
      <c r="C286" s="303"/>
      <c r="D286" s="301" t="s">
        <v>242</v>
      </c>
      <c r="E286" s="302" t="s">
        <v>287</v>
      </c>
      <c r="F286" s="303" t="s">
        <v>243</v>
      </c>
      <c r="G286" s="345" t="s">
        <v>25</v>
      </c>
      <c r="H286" s="345" t="s">
        <v>227</v>
      </c>
      <c r="I286" s="331">
        <f t="shared" si="25"/>
        <v>1.5654896694354284E-2</v>
      </c>
      <c r="J286" s="305">
        <v>1000000</v>
      </c>
      <c r="K286" s="346">
        <v>4</v>
      </c>
      <c r="L286" s="334">
        <f>J286/K286</f>
        <v>250000</v>
      </c>
      <c r="M286" s="334">
        <f>L286/N286</f>
        <v>0.625</v>
      </c>
      <c r="N286" s="347">
        <v>400000</v>
      </c>
      <c r="O286" s="348">
        <v>0.6</v>
      </c>
      <c r="P286" s="334">
        <f>N286*O286</f>
        <v>240000</v>
      </c>
      <c r="Q286" s="305">
        <f>J286*1000/P286</f>
        <v>4166.666666666667</v>
      </c>
      <c r="R286" s="333">
        <v>1.1000000000000001</v>
      </c>
      <c r="S286" s="334">
        <f>P286/R286</f>
        <v>218181.81818181818</v>
      </c>
      <c r="T286" s="306"/>
      <c r="U286" s="306"/>
      <c r="V286" s="306"/>
      <c r="W286" s="310"/>
      <c r="X286" s="306"/>
      <c r="Y286" s="310"/>
      <c r="Z286" s="306"/>
      <c r="AA286" s="306"/>
      <c r="AB286" s="311"/>
      <c r="AC286" s="311"/>
      <c r="AD286" s="311"/>
    </row>
    <row r="287" spans="1:30" ht="15.75" hidden="1" customHeight="1" x14ac:dyDescent="0.15">
      <c r="A287" s="290"/>
      <c r="B287" s="303"/>
      <c r="C287" s="303"/>
      <c r="D287" s="301" t="s">
        <v>244</v>
      </c>
      <c r="E287" s="302" t="s">
        <v>287</v>
      </c>
      <c r="F287" s="303" t="s">
        <v>243</v>
      </c>
      <c r="G287" s="345" t="s">
        <v>25</v>
      </c>
      <c r="H287" s="345" t="s">
        <v>245</v>
      </c>
      <c r="I287" s="331">
        <f t="shared" si="25"/>
        <v>1.5654896694354284E-2</v>
      </c>
      <c r="J287" s="305">
        <v>1000000</v>
      </c>
      <c r="K287" s="306"/>
      <c r="L287" s="306"/>
      <c r="M287" s="306"/>
      <c r="N287" s="306"/>
      <c r="O287" s="306"/>
      <c r="P287" s="306"/>
      <c r="Q287" s="306"/>
      <c r="R287" s="306"/>
      <c r="S287" s="306"/>
      <c r="T287" s="306"/>
      <c r="U287" s="306"/>
      <c r="V287" s="306"/>
      <c r="W287" s="310"/>
      <c r="X287" s="306"/>
      <c r="Y287" s="310"/>
      <c r="Z287" s="306"/>
      <c r="AA287" s="332">
        <v>1000</v>
      </c>
      <c r="AB287" s="340"/>
      <c r="AC287" s="340">
        <f>AA287*50000</f>
        <v>50000000</v>
      </c>
      <c r="AD287" s="340"/>
    </row>
    <row r="288" spans="1:30" ht="15.75" hidden="1" customHeight="1" x14ac:dyDescent="0.15">
      <c r="A288" s="290"/>
      <c r="B288" s="403"/>
      <c r="C288" s="403"/>
      <c r="D288" s="404" t="s">
        <v>277</v>
      </c>
      <c r="E288" s="302" t="s">
        <v>287</v>
      </c>
      <c r="F288" s="303" t="s">
        <v>210</v>
      </c>
      <c r="G288" s="303" t="s">
        <v>25</v>
      </c>
      <c r="H288" s="303" t="s">
        <v>227</v>
      </c>
      <c r="I288" s="331">
        <f t="shared" si="25"/>
        <v>7.8274483471771406E-2</v>
      </c>
      <c r="J288" s="361">
        <v>5000000</v>
      </c>
      <c r="K288" s="359">
        <v>2</v>
      </c>
      <c r="L288" s="332">
        <f>M288*N288</f>
        <v>1000000</v>
      </c>
      <c r="M288" s="332">
        <v>100</v>
      </c>
      <c r="N288" s="332">
        <v>10000</v>
      </c>
      <c r="O288" s="360">
        <v>0.2</v>
      </c>
      <c r="P288" s="332">
        <f>N288*O288</f>
        <v>2000</v>
      </c>
      <c r="Q288" s="361">
        <f>J288*1000/P288</f>
        <v>2500000</v>
      </c>
      <c r="R288" s="362">
        <v>1.1000000000000001</v>
      </c>
      <c r="S288" s="332">
        <f>P288/R288</f>
        <v>1818.181818181818</v>
      </c>
      <c r="T288" s="306"/>
      <c r="U288" s="306"/>
      <c r="V288" s="306"/>
      <c r="W288" s="310"/>
      <c r="X288" s="306"/>
      <c r="Y288" s="310"/>
      <c r="Z288" s="306"/>
      <c r="AA288" s="332">
        <f>J288*5/70000</f>
        <v>357.14285714285717</v>
      </c>
      <c r="AB288" s="340"/>
      <c r="AC288" s="340">
        <f>AA288*50000</f>
        <v>17857142.857142858</v>
      </c>
      <c r="AD288" s="340"/>
    </row>
    <row r="289" spans="1:30" ht="15.75" hidden="1" customHeight="1" x14ac:dyDescent="0.15">
      <c r="A289" s="290"/>
      <c r="B289" s="403"/>
      <c r="C289" s="403"/>
      <c r="D289" s="405" t="s">
        <v>278</v>
      </c>
      <c r="E289" s="302" t="s">
        <v>287</v>
      </c>
      <c r="F289" s="406" t="s">
        <v>210</v>
      </c>
      <c r="G289" s="406" t="s">
        <v>25</v>
      </c>
      <c r="H289" s="406" t="s">
        <v>279</v>
      </c>
      <c r="I289" s="331">
        <f t="shared" si="25"/>
        <v>0.71821185950162292</v>
      </c>
      <c r="J289" s="407">
        <v>45877777</v>
      </c>
      <c r="K289" s="408"/>
      <c r="L289" s="408"/>
      <c r="M289" s="408"/>
      <c r="N289" s="408"/>
      <c r="O289" s="408"/>
      <c r="P289" s="408"/>
      <c r="Q289" s="408"/>
      <c r="R289" s="408"/>
      <c r="S289" s="408"/>
      <c r="T289" s="306"/>
      <c r="U289" s="306"/>
      <c r="V289" s="306"/>
      <c r="W289" s="310"/>
      <c r="X289" s="306"/>
      <c r="Y289" s="310"/>
      <c r="Z289" s="306"/>
      <c r="AA289" s="409">
        <v>4559</v>
      </c>
      <c r="AB289" s="410"/>
      <c r="AC289" s="410">
        <f>AA289*50000</f>
        <v>227950000</v>
      </c>
      <c r="AD289" s="340"/>
    </row>
    <row r="290" spans="1:30" ht="15.75" hidden="1" customHeight="1" x14ac:dyDescent="0.15">
      <c r="A290" s="290"/>
      <c r="B290" s="313"/>
      <c r="C290" s="313"/>
      <c r="D290" s="314" t="s">
        <v>27</v>
      </c>
      <c r="E290" s="315"/>
      <c r="F290" s="315"/>
      <c r="G290" s="315"/>
      <c r="H290" s="315"/>
      <c r="I290" s="316">
        <f>J290/J290</f>
        <v>1</v>
      </c>
      <c r="J290" s="317">
        <f>SUM(J268:J289)</f>
        <v>63877777</v>
      </c>
      <c r="K290" s="315"/>
      <c r="L290" s="318"/>
      <c r="M290" s="318">
        <f>SUM(M268:M289)</f>
        <v>113.625</v>
      </c>
      <c r="N290" s="318"/>
      <c r="O290" s="318"/>
      <c r="P290" s="318">
        <f>SUM(P268:P289)</f>
        <v>15462760.233918127</v>
      </c>
      <c r="Q290" s="318">
        <f>J290/P290*1000</f>
        <v>4131.072074692187</v>
      </c>
      <c r="R290" s="319">
        <f>P290/T290</f>
        <v>5.4999999999999991</v>
      </c>
      <c r="S290" s="318">
        <f>SUM(S268:S289)</f>
        <v>14057054.75810739</v>
      </c>
      <c r="T290" s="318">
        <f>S290/5</f>
        <v>2811410.951621478</v>
      </c>
      <c r="U290" s="318"/>
      <c r="V290" s="318"/>
      <c r="W290" s="320"/>
      <c r="X290" s="318"/>
      <c r="Y290" s="320"/>
      <c r="Z290" s="318"/>
      <c r="AA290" s="318">
        <f>SUM(AA271:AA289)</f>
        <v>5916.1428571428569</v>
      </c>
      <c r="AB290" s="317"/>
      <c r="AC290" s="317">
        <f>SUM(AC271:AC289)</f>
        <v>295807142.85714287</v>
      </c>
      <c r="AD290" s="317"/>
    </row>
    <row r="291" spans="1:30" ht="15.75" hidden="1" customHeight="1" x14ac:dyDescent="0.15">
      <c r="A291" s="290"/>
      <c r="B291" s="290"/>
      <c r="C291" s="290"/>
      <c r="D291" s="290"/>
      <c r="E291" s="290"/>
      <c r="F291" s="290"/>
      <c r="G291" s="290"/>
      <c r="H291" s="290"/>
      <c r="I291" s="290"/>
      <c r="J291" s="290"/>
      <c r="K291" s="290"/>
      <c r="L291" s="290"/>
      <c r="M291" s="290"/>
      <c r="N291" s="290"/>
      <c r="O291" s="290"/>
      <c r="P291" s="290"/>
      <c r="Q291" s="290"/>
      <c r="R291" s="290"/>
      <c r="S291" s="290"/>
      <c r="T291" s="290"/>
      <c r="U291" s="290"/>
      <c r="V291" s="290"/>
      <c r="W291" s="291"/>
      <c r="X291" s="290"/>
      <c r="Y291" s="291"/>
      <c r="Z291" s="290"/>
      <c r="AA291" s="290"/>
      <c r="AB291" s="292"/>
      <c r="AC291" s="292"/>
      <c r="AD291" s="292"/>
    </row>
    <row r="292" spans="1:30" ht="15.75" hidden="1" customHeight="1" x14ac:dyDescent="0.15">
      <c r="A292" s="290"/>
      <c r="B292" s="390"/>
      <c r="C292" s="390"/>
      <c r="D292" s="295" t="s">
        <v>148</v>
      </c>
      <c r="E292" s="392"/>
      <c r="F292" s="296"/>
      <c r="G292" s="296"/>
      <c r="H292" s="296"/>
      <c r="I292" s="296"/>
      <c r="J292" s="296"/>
      <c r="K292" s="296"/>
      <c r="L292" s="296"/>
      <c r="M292" s="296"/>
      <c r="N292" s="296"/>
      <c r="O292" s="296"/>
      <c r="P292" s="296"/>
      <c r="Q292" s="296"/>
      <c r="R292" s="296"/>
      <c r="S292" s="296"/>
      <c r="T292" s="296"/>
      <c r="U292" s="296"/>
      <c r="V292" s="296"/>
      <c r="W292" s="297"/>
      <c r="X292" s="296"/>
      <c r="Y292" s="297"/>
      <c r="Z292" s="296"/>
      <c r="AA292" s="296"/>
      <c r="AB292" s="298"/>
      <c r="AC292" s="298"/>
      <c r="AD292" s="299"/>
    </row>
    <row r="293" spans="1:30" ht="15.75" hidden="1" customHeight="1" x14ac:dyDescent="0.15">
      <c r="A293" s="290"/>
      <c r="B293" s="303"/>
      <c r="C293" s="303"/>
      <c r="D293" s="301" t="s">
        <v>264</v>
      </c>
      <c r="E293" s="302" t="s">
        <v>288</v>
      </c>
      <c r="F293" s="303" t="s">
        <v>224</v>
      </c>
      <c r="G293" s="303" t="s">
        <v>22</v>
      </c>
      <c r="H293" s="303" t="s">
        <v>227</v>
      </c>
      <c r="I293" s="331">
        <f>J293/$J$315</f>
        <v>2.2998937219111105E-2</v>
      </c>
      <c r="J293" s="305">
        <v>1000000</v>
      </c>
      <c r="K293" s="306"/>
      <c r="L293" s="307"/>
      <c r="M293" s="307"/>
      <c r="N293" s="308"/>
      <c r="O293" s="309"/>
      <c r="P293" s="334">
        <f>J293/Q293*1000</f>
        <v>2631578.9473684211</v>
      </c>
      <c r="Q293" s="305">
        <v>380</v>
      </c>
      <c r="R293" s="333">
        <v>1.1000000000000001</v>
      </c>
      <c r="S293" s="334">
        <f>P293/R293</f>
        <v>2392344.4976076554</v>
      </c>
      <c r="T293" s="306"/>
      <c r="U293" s="306"/>
      <c r="V293" s="306"/>
      <c r="W293" s="310"/>
      <c r="X293" s="306"/>
      <c r="Y293" s="310"/>
      <c r="Z293" s="306"/>
      <c r="AA293" s="306"/>
      <c r="AB293" s="311"/>
      <c r="AC293" s="311"/>
      <c r="AD293" s="311"/>
    </row>
    <row r="294" spans="1:30" ht="15.75" hidden="1" customHeight="1" x14ac:dyDescent="0.15">
      <c r="A294" s="290"/>
      <c r="B294" s="303"/>
      <c r="C294" s="303"/>
      <c r="D294" s="301" t="s">
        <v>265</v>
      </c>
      <c r="E294" s="302" t="s">
        <v>288</v>
      </c>
      <c r="F294" s="303" t="s">
        <v>224</v>
      </c>
      <c r="G294" s="303" t="s">
        <v>22</v>
      </c>
      <c r="H294" s="303" t="s">
        <v>48</v>
      </c>
      <c r="I294" s="331">
        <f>J294/$J$315</f>
        <v>2.2998937219111105E-2</v>
      </c>
      <c r="J294" s="305">
        <v>1000000</v>
      </c>
      <c r="K294" s="306"/>
      <c r="L294" s="307"/>
      <c r="M294" s="307"/>
      <c r="N294" s="308"/>
      <c r="O294" s="309"/>
      <c r="P294" s="334">
        <f>J294/Q294*1000</f>
        <v>2631578.9473684211</v>
      </c>
      <c r="Q294" s="305">
        <v>380</v>
      </c>
      <c r="R294" s="333">
        <v>1.1000000000000001</v>
      </c>
      <c r="S294" s="334">
        <f>P294/R294</f>
        <v>2392344.4976076554</v>
      </c>
      <c r="T294" s="306"/>
      <c r="U294" s="306"/>
      <c r="V294" s="306"/>
      <c r="W294" s="310"/>
      <c r="X294" s="306"/>
      <c r="Y294" s="310"/>
      <c r="Z294" s="306"/>
      <c r="AA294" s="306"/>
      <c r="AB294" s="311"/>
      <c r="AC294" s="311"/>
      <c r="AD294" s="311"/>
    </row>
    <row r="295" spans="1:30" ht="15.75" hidden="1" customHeight="1" x14ac:dyDescent="0.15">
      <c r="A295" s="290"/>
      <c r="B295" s="303"/>
      <c r="C295" s="303"/>
      <c r="D295" s="301" t="s">
        <v>266</v>
      </c>
      <c r="E295" s="302" t="s">
        <v>288</v>
      </c>
      <c r="F295" s="303" t="s">
        <v>224</v>
      </c>
      <c r="G295" s="303" t="s">
        <v>22</v>
      </c>
      <c r="H295" s="303" t="s">
        <v>65</v>
      </c>
      <c r="I295" s="331">
        <f>J295/$J$315</f>
        <v>2.2998937219111105E-2</v>
      </c>
      <c r="J295" s="305">
        <v>1000000</v>
      </c>
      <c r="K295" s="306"/>
      <c r="L295" s="307"/>
      <c r="M295" s="307"/>
      <c r="N295" s="308"/>
      <c r="O295" s="309"/>
      <c r="P295" s="334">
        <f>J295/Q295*1000</f>
        <v>2222222.222222222</v>
      </c>
      <c r="Q295" s="305">
        <v>450</v>
      </c>
      <c r="R295" s="333">
        <v>1.1000000000000001</v>
      </c>
      <c r="S295" s="334">
        <f>P295/R295</f>
        <v>2020202.02020202</v>
      </c>
      <c r="T295" s="306"/>
      <c r="U295" s="306"/>
      <c r="V295" s="306"/>
      <c r="W295" s="310"/>
      <c r="X295" s="306"/>
      <c r="Y295" s="310"/>
      <c r="Z295" s="306"/>
      <c r="AA295" s="306"/>
      <c r="AB295" s="311"/>
      <c r="AC295" s="311"/>
      <c r="AD295" s="311"/>
    </row>
    <row r="296" spans="1:30" ht="15.75" hidden="1" customHeight="1" x14ac:dyDescent="0.15">
      <c r="A296" s="290"/>
      <c r="B296" s="303"/>
      <c r="C296" s="303"/>
      <c r="D296" s="301" t="s">
        <v>267</v>
      </c>
      <c r="E296" s="302" t="s">
        <v>288</v>
      </c>
      <c r="F296" s="303" t="s">
        <v>224</v>
      </c>
      <c r="G296" s="303" t="s">
        <v>22</v>
      </c>
      <c r="H296" s="303" t="s">
        <v>58</v>
      </c>
      <c r="I296" s="331">
        <f>J296/$J$315</f>
        <v>2.2998937219111105E-2</v>
      </c>
      <c r="J296" s="305">
        <v>1000000</v>
      </c>
      <c r="K296" s="306"/>
      <c r="L296" s="307"/>
      <c r="M296" s="307"/>
      <c r="N296" s="308"/>
      <c r="O296" s="309"/>
      <c r="P296" s="334">
        <f>J296/Q296*1000</f>
        <v>2222222.222222222</v>
      </c>
      <c r="Q296" s="305">
        <v>450</v>
      </c>
      <c r="R296" s="333">
        <v>1.1000000000000001</v>
      </c>
      <c r="S296" s="334">
        <f>P296/R296</f>
        <v>2020202.02020202</v>
      </c>
      <c r="T296" s="306"/>
      <c r="U296" s="306"/>
      <c r="V296" s="306"/>
      <c r="W296" s="310"/>
      <c r="X296" s="306"/>
      <c r="Y296" s="310"/>
      <c r="Z296" s="306"/>
      <c r="AA296" s="306"/>
      <c r="AB296" s="311"/>
      <c r="AC296" s="311"/>
      <c r="AD296" s="311"/>
    </row>
    <row r="297" spans="1:30" ht="15.75" hidden="1" customHeight="1" x14ac:dyDescent="0.15">
      <c r="A297" s="290"/>
      <c r="B297" s="303"/>
      <c r="C297" s="303"/>
      <c r="D297" s="393" t="s">
        <v>268</v>
      </c>
      <c r="E297" s="394"/>
      <c r="F297" s="395"/>
      <c r="G297" s="395"/>
      <c r="H297" s="395"/>
      <c r="I297" s="310"/>
      <c r="J297" s="396"/>
      <c r="K297" s="397"/>
      <c r="L297" s="398"/>
      <c r="M297" s="398"/>
      <c r="N297" s="399"/>
      <c r="O297" s="400"/>
      <c r="P297" s="398"/>
      <c r="Q297" s="396"/>
      <c r="R297" s="401"/>
      <c r="S297" s="398"/>
      <c r="T297" s="306"/>
      <c r="U297" s="306"/>
      <c r="V297" s="306"/>
      <c r="W297" s="310"/>
      <c r="X297" s="306"/>
      <c r="Y297" s="310"/>
      <c r="Z297" s="306"/>
      <c r="AA297" s="306"/>
      <c r="AB297" s="311"/>
      <c r="AC297" s="311"/>
      <c r="AD297" s="311"/>
    </row>
    <row r="298" spans="1:30" ht="15.75" hidden="1" customHeight="1" x14ac:dyDescent="0.15">
      <c r="A298" s="290"/>
      <c r="B298" s="303"/>
      <c r="C298" s="303"/>
      <c r="D298" s="393" t="s">
        <v>233</v>
      </c>
      <c r="E298" s="394"/>
      <c r="F298" s="395"/>
      <c r="G298" s="395"/>
      <c r="H298" s="395"/>
      <c r="I298" s="310"/>
      <c r="J298" s="396"/>
      <c r="K298" s="306"/>
      <c r="L298" s="307"/>
      <c r="M298" s="307"/>
      <c r="N298" s="308"/>
      <c r="O298" s="309"/>
      <c r="P298" s="398"/>
      <c r="Q298" s="396"/>
      <c r="R298" s="401"/>
      <c r="S298" s="398"/>
      <c r="T298" s="306"/>
      <c r="U298" s="306"/>
      <c r="V298" s="306"/>
      <c r="W298" s="310"/>
      <c r="X298" s="306"/>
      <c r="Y298" s="310"/>
      <c r="Z298" s="306"/>
      <c r="AA298" s="306"/>
      <c r="AB298" s="311"/>
      <c r="AC298" s="311"/>
      <c r="AD298" s="311"/>
    </row>
    <row r="299" spans="1:30" ht="15.75" hidden="1" customHeight="1" x14ac:dyDescent="0.15">
      <c r="A299" s="290"/>
      <c r="B299" s="303"/>
      <c r="C299" s="303"/>
      <c r="D299" s="393" t="s">
        <v>269</v>
      </c>
      <c r="E299" s="394"/>
      <c r="F299" s="395"/>
      <c r="G299" s="395"/>
      <c r="H299" s="395"/>
      <c r="I299" s="310"/>
      <c r="J299" s="396"/>
      <c r="K299" s="397"/>
      <c r="L299" s="398"/>
      <c r="M299" s="398"/>
      <c r="N299" s="399"/>
      <c r="O299" s="400"/>
      <c r="P299" s="398"/>
      <c r="Q299" s="396"/>
      <c r="R299" s="401"/>
      <c r="S299" s="398"/>
      <c r="T299" s="306"/>
      <c r="U299" s="306"/>
      <c r="V299" s="306"/>
      <c r="W299" s="310"/>
      <c r="X299" s="306"/>
      <c r="Y299" s="310"/>
      <c r="Z299" s="306"/>
      <c r="AA299" s="306"/>
      <c r="AB299" s="311"/>
      <c r="AC299" s="311"/>
      <c r="AD299" s="311"/>
    </row>
    <row r="300" spans="1:30" ht="15.75" hidden="1" customHeight="1" x14ac:dyDescent="0.15">
      <c r="A300" s="290"/>
      <c r="B300" s="303"/>
      <c r="C300" s="303"/>
      <c r="D300" s="393" t="s">
        <v>270</v>
      </c>
      <c r="E300" s="394"/>
      <c r="F300" s="395"/>
      <c r="G300" s="395"/>
      <c r="H300" s="395"/>
      <c r="I300" s="310"/>
      <c r="J300" s="396"/>
      <c r="K300" s="306"/>
      <c r="L300" s="307"/>
      <c r="M300" s="307"/>
      <c r="N300" s="308"/>
      <c r="O300" s="309"/>
      <c r="P300" s="398"/>
      <c r="Q300" s="396"/>
      <c r="R300" s="401"/>
      <c r="S300" s="398"/>
      <c r="T300" s="306"/>
      <c r="U300" s="306"/>
      <c r="V300" s="306"/>
      <c r="W300" s="310"/>
      <c r="X300" s="306"/>
      <c r="Y300" s="310"/>
      <c r="Z300" s="306"/>
      <c r="AA300" s="306"/>
      <c r="AB300" s="311"/>
      <c r="AC300" s="311"/>
      <c r="AD300" s="311"/>
    </row>
    <row r="301" spans="1:30" ht="15.75" hidden="1" customHeight="1" x14ac:dyDescent="0.15">
      <c r="A301" s="290"/>
      <c r="B301" s="303"/>
      <c r="C301" s="303"/>
      <c r="D301" s="393" t="s">
        <v>271</v>
      </c>
      <c r="E301" s="394"/>
      <c r="F301" s="395"/>
      <c r="G301" s="395"/>
      <c r="H301" s="395"/>
      <c r="I301" s="310"/>
      <c r="J301" s="396"/>
      <c r="K301" s="397"/>
      <c r="L301" s="398"/>
      <c r="M301" s="398"/>
      <c r="N301" s="399"/>
      <c r="O301" s="400"/>
      <c r="P301" s="398"/>
      <c r="Q301" s="396"/>
      <c r="R301" s="401"/>
      <c r="S301" s="398"/>
      <c r="T301" s="306"/>
      <c r="U301" s="306"/>
      <c r="V301" s="306"/>
      <c r="W301" s="310"/>
      <c r="X301" s="306"/>
      <c r="Y301" s="310"/>
      <c r="Z301" s="306"/>
      <c r="AA301" s="306"/>
      <c r="AB301" s="311"/>
      <c r="AC301" s="311"/>
      <c r="AD301" s="311"/>
    </row>
    <row r="302" spans="1:30" ht="15.75" hidden="1" customHeight="1" x14ac:dyDescent="0.15">
      <c r="A302" s="290"/>
      <c r="B302" s="303"/>
      <c r="C302" s="303"/>
      <c r="D302" s="393" t="s">
        <v>272</v>
      </c>
      <c r="E302" s="394"/>
      <c r="F302" s="395"/>
      <c r="G302" s="395"/>
      <c r="H302" s="395"/>
      <c r="I302" s="310"/>
      <c r="J302" s="396"/>
      <c r="K302" s="306"/>
      <c r="L302" s="307"/>
      <c r="M302" s="307"/>
      <c r="N302" s="308"/>
      <c r="O302" s="309"/>
      <c r="P302" s="398"/>
      <c r="Q302" s="396"/>
      <c r="R302" s="401"/>
      <c r="S302" s="398"/>
      <c r="T302" s="306"/>
      <c r="U302" s="306"/>
      <c r="V302" s="306"/>
      <c r="W302" s="310"/>
      <c r="X302" s="306"/>
      <c r="Y302" s="310"/>
      <c r="Z302" s="306"/>
      <c r="AA302" s="306"/>
      <c r="AB302" s="311"/>
      <c r="AC302" s="311"/>
      <c r="AD302" s="311"/>
    </row>
    <row r="303" spans="1:30" ht="15.75" hidden="1" customHeight="1" x14ac:dyDescent="0.15">
      <c r="A303" s="290"/>
      <c r="B303" s="303"/>
      <c r="C303" s="303"/>
      <c r="D303" s="301" t="s">
        <v>273</v>
      </c>
      <c r="E303" s="302" t="s">
        <v>288</v>
      </c>
      <c r="F303" s="303" t="s">
        <v>240</v>
      </c>
      <c r="G303" s="345" t="s">
        <v>19</v>
      </c>
      <c r="H303" s="345" t="s">
        <v>227</v>
      </c>
      <c r="I303" s="331">
        <f>J303/$J$315</f>
        <v>5.749734304777776E-2</v>
      </c>
      <c r="J303" s="305">
        <v>2500000</v>
      </c>
      <c r="K303" s="346">
        <v>4</v>
      </c>
      <c r="L303" s="334">
        <f>J303/K303</f>
        <v>625000</v>
      </c>
      <c r="M303" s="334">
        <v>3</v>
      </c>
      <c r="N303" s="347">
        <f>L303/M303</f>
        <v>208333.33333333334</v>
      </c>
      <c r="O303" s="348">
        <v>0.2</v>
      </c>
      <c r="P303" s="334">
        <f>L303*O303</f>
        <v>125000</v>
      </c>
      <c r="Q303" s="305">
        <f>J303*1000/P303</f>
        <v>20000</v>
      </c>
      <c r="R303" s="333">
        <v>1.1000000000000001</v>
      </c>
      <c r="S303" s="334">
        <f>P303/R303</f>
        <v>113636.36363636363</v>
      </c>
      <c r="T303" s="306"/>
      <c r="U303" s="306"/>
      <c r="V303" s="306"/>
      <c r="W303" s="310"/>
      <c r="X303" s="306"/>
      <c r="Y303" s="310"/>
      <c r="Z303" s="306"/>
      <c r="AA303" s="306"/>
      <c r="AB303" s="311"/>
      <c r="AC303" s="311"/>
      <c r="AD303" s="311"/>
    </row>
    <row r="304" spans="1:30" ht="15.75" hidden="1" customHeight="1" x14ac:dyDescent="0.15">
      <c r="A304" s="290"/>
      <c r="B304" s="303"/>
      <c r="C304" s="303"/>
      <c r="D304" s="301" t="s">
        <v>274</v>
      </c>
      <c r="E304" s="302" t="s">
        <v>288</v>
      </c>
      <c r="F304" s="303" t="s">
        <v>240</v>
      </c>
      <c r="G304" s="345" t="s">
        <v>22</v>
      </c>
      <c r="H304" s="345" t="s">
        <v>227</v>
      </c>
      <c r="I304" s="331">
        <f>J304/$J$315</f>
        <v>2.2998937219111105E-2</v>
      </c>
      <c r="J304" s="305">
        <v>1000000</v>
      </c>
      <c r="K304" s="306"/>
      <c r="L304" s="307"/>
      <c r="M304" s="307"/>
      <c r="N304" s="308"/>
      <c r="O304" s="309"/>
      <c r="P304" s="334">
        <f>J304/Q304*1000</f>
        <v>2631578.9473684211</v>
      </c>
      <c r="Q304" s="305">
        <v>380</v>
      </c>
      <c r="R304" s="333">
        <v>1.1000000000000001</v>
      </c>
      <c r="S304" s="334">
        <f>P304/R304</f>
        <v>2392344.4976076554</v>
      </c>
      <c r="T304" s="306"/>
      <c r="U304" s="306"/>
      <c r="V304" s="306"/>
      <c r="W304" s="310"/>
      <c r="X304" s="306"/>
      <c r="Y304" s="310"/>
      <c r="Z304" s="306"/>
      <c r="AA304" s="306"/>
      <c r="AB304" s="311"/>
      <c r="AC304" s="311"/>
      <c r="AD304" s="311"/>
    </row>
    <row r="305" spans="1:30" ht="15.75" hidden="1" customHeight="1" x14ac:dyDescent="0.15">
      <c r="A305" s="290"/>
      <c r="B305" s="303"/>
      <c r="C305" s="303"/>
      <c r="D305" s="393" t="s">
        <v>241</v>
      </c>
      <c r="E305" s="394"/>
      <c r="F305" s="395"/>
      <c r="G305" s="402"/>
      <c r="H305" s="402"/>
      <c r="I305" s="310"/>
      <c r="J305" s="396"/>
      <c r="K305" s="397"/>
      <c r="L305" s="398"/>
      <c r="M305" s="398"/>
      <c r="N305" s="399"/>
      <c r="O305" s="400"/>
      <c r="P305" s="398"/>
      <c r="Q305" s="396"/>
      <c r="R305" s="401"/>
      <c r="S305" s="398"/>
      <c r="T305" s="306"/>
      <c r="U305" s="306"/>
      <c r="V305" s="306"/>
      <c r="W305" s="310"/>
      <c r="X305" s="306"/>
      <c r="Y305" s="310"/>
      <c r="Z305" s="306"/>
      <c r="AA305" s="306"/>
      <c r="AB305" s="311"/>
      <c r="AC305" s="311"/>
      <c r="AD305" s="311"/>
    </row>
    <row r="306" spans="1:30" ht="15.75" hidden="1" customHeight="1" x14ac:dyDescent="0.15">
      <c r="A306" s="290"/>
      <c r="B306" s="303"/>
      <c r="C306" s="303"/>
      <c r="D306" s="393" t="s">
        <v>235</v>
      </c>
      <c r="E306" s="394"/>
      <c r="F306" s="395"/>
      <c r="G306" s="402"/>
      <c r="H306" s="402"/>
      <c r="I306" s="310"/>
      <c r="J306" s="396"/>
      <c r="K306" s="306"/>
      <c r="L306" s="307"/>
      <c r="M306" s="307"/>
      <c r="N306" s="308"/>
      <c r="O306" s="309"/>
      <c r="P306" s="398"/>
      <c r="Q306" s="396"/>
      <c r="R306" s="401"/>
      <c r="S306" s="398"/>
      <c r="T306" s="306"/>
      <c r="U306" s="306"/>
      <c r="V306" s="306"/>
      <c r="W306" s="310"/>
      <c r="X306" s="306"/>
      <c r="Y306" s="310"/>
      <c r="Z306" s="306"/>
      <c r="AA306" s="306"/>
      <c r="AB306" s="311"/>
      <c r="AC306" s="311"/>
      <c r="AD306" s="311"/>
    </row>
    <row r="307" spans="1:30" ht="15.75" hidden="1" customHeight="1" x14ac:dyDescent="0.15">
      <c r="A307" s="290"/>
      <c r="B307" s="303"/>
      <c r="C307" s="303"/>
      <c r="D307" s="393" t="s">
        <v>239</v>
      </c>
      <c r="E307" s="394"/>
      <c r="F307" s="395"/>
      <c r="G307" s="402"/>
      <c r="H307" s="402"/>
      <c r="I307" s="310"/>
      <c r="J307" s="396"/>
      <c r="K307" s="397"/>
      <c r="L307" s="398"/>
      <c r="M307" s="398"/>
      <c r="N307" s="399"/>
      <c r="O307" s="400"/>
      <c r="P307" s="398"/>
      <c r="Q307" s="396"/>
      <c r="R307" s="401"/>
      <c r="S307" s="398"/>
      <c r="T307" s="306"/>
      <c r="U307" s="306"/>
      <c r="V307" s="306"/>
      <c r="W307" s="310"/>
      <c r="X307" s="306"/>
      <c r="Y307" s="310"/>
      <c r="Z307" s="306"/>
      <c r="AA307" s="306"/>
      <c r="AB307" s="311"/>
      <c r="AC307" s="311"/>
      <c r="AD307" s="311"/>
    </row>
    <row r="308" spans="1:30" ht="15.75" hidden="1" customHeight="1" x14ac:dyDescent="0.15">
      <c r="A308" s="290"/>
      <c r="B308" s="303"/>
      <c r="C308" s="303"/>
      <c r="D308" s="393" t="s">
        <v>234</v>
      </c>
      <c r="E308" s="394"/>
      <c r="F308" s="395"/>
      <c r="G308" s="402"/>
      <c r="H308" s="402"/>
      <c r="I308" s="310"/>
      <c r="J308" s="396"/>
      <c r="K308" s="306"/>
      <c r="L308" s="307"/>
      <c r="M308" s="307"/>
      <c r="N308" s="308"/>
      <c r="O308" s="309"/>
      <c r="P308" s="398"/>
      <c r="Q308" s="396"/>
      <c r="R308" s="401"/>
      <c r="S308" s="398"/>
      <c r="T308" s="306"/>
      <c r="U308" s="306"/>
      <c r="V308" s="306"/>
      <c r="W308" s="310"/>
      <c r="X308" s="306"/>
      <c r="Y308" s="310"/>
      <c r="Z308" s="306"/>
      <c r="AA308" s="306"/>
      <c r="AB308" s="311"/>
      <c r="AC308" s="311"/>
      <c r="AD308" s="311"/>
    </row>
    <row r="309" spans="1:30" ht="15.75" hidden="1" customHeight="1" x14ac:dyDescent="0.15">
      <c r="A309" s="290"/>
      <c r="B309" s="303"/>
      <c r="C309" s="303"/>
      <c r="D309" s="364" t="s">
        <v>275</v>
      </c>
      <c r="E309" s="302" t="s">
        <v>288</v>
      </c>
      <c r="F309" s="303" t="s">
        <v>240</v>
      </c>
      <c r="G309" s="345" t="s">
        <v>19</v>
      </c>
      <c r="H309" s="345" t="s">
        <v>227</v>
      </c>
      <c r="I309" s="331">
        <f t="shared" ref="I309:I314" si="26">J309/$J$315</f>
        <v>5.749734304777776E-2</v>
      </c>
      <c r="J309" s="305">
        <v>2500000</v>
      </c>
      <c r="K309" s="346">
        <v>4</v>
      </c>
      <c r="L309" s="334">
        <f>J309/K309</f>
        <v>625000</v>
      </c>
      <c r="M309" s="334">
        <v>10</v>
      </c>
      <c r="N309" s="347">
        <f>L309/M309</f>
        <v>62500</v>
      </c>
      <c r="O309" s="348">
        <v>0.2</v>
      </c>
      <c r="P309" s="334">
        <f>L309*O309</f>
        <v>125000</v>
      </c>
      <c r="Q309" s="305">
        <f>J309*1000/P309</f>
        <v>20000</v>
      </c>
      <c r="R309" s="333">
        <v>1.1000000000000001</v>
      </c>
      <c r="S309" s="334">
        <f>P309/R309</f>
        <v>113636.36363636363</v>
      </c>
      <c r="T309" s="306"/>
      <c r="U309" s="306"/>
      <c r="V309" s="306"/>
      <c r="W309" s="310"/>
      <c r="X309" s="306"/>
      <c r="Y309" s="310"/>
      <c r="Z309" s="306"/>
      <c r="AA309" s="306"/>
      <c r="AB309" s="311"/>
      <c r="AC309" s="311"/>
      <c r="AD309" s="311"/>
    </row>
    <row r="310" spans="1:30" ht="15.75" hidden="1" customHeight="1" x14ac:dyDescent="0.15">
      <c r="A310" s="290"/>
      <c r="B310" s="303"/>
      <c r="C310" s="303"/>
      <c r="D310" s="364" t="s">
        <v>276</v>
      </c>
      <c r="E310" s="302" t="s">
        <v>288</v>
      </c>
      <c r="F310" s="303" t="s">
        <v>240</v>
      </c>
      <c r="G310" s="345" t="s">
        <v>22</v>
      </c>
      <c r="H310" s="345" t="s">
        <v>227</v>
      </c>
      <c r="I310" s="331">
        <f t="shared" si="26"/>
        <v>2.2998937219111105E-2</v>
      </c>
      <c r="J310" s="305">
        <v>1000000</v>
      </c>
      <c r="K310" s="306"/>
      <c r="L310" s="307"/>
      <c r="M310" s="307"/>
      <c r="N310" s="308"/>
      <c r="O310" s="309"/>
      <c r="P310" s="334">
        <f>J310/Q310*1000</f>
        <v>2631578.9473684211</v>
      </c>
      <c r="Q310" s="305">
        <v>380</v>
      </c>
      <c r="R310" s="333">
        <v>1.1000000000000001</v>
      </c>
      <c r="S310" s="334">
        <f>P310/R310</f>
        <v>2392344.4976076554</v>
      </c>
      <c r="T310" s="306"/>
      <c r="U310" s="306"/>
      <c r="V310" s="306"/>
      <c r="W310" s="310"/>
      <c r="X310" s="306"/>
      <c r="Y310" s="310"/>
      <c r="Z310" s="306"/>
      <c r="AA310" s="306"/>
      <c r="AB310" s="311"/>
      <c r="AC310" s="311"/>
      <c r="AD310" s="311"/>
    </row>
    <row r="311" spans="1:30" ht="15.75" hidden="1" customHeight="1" x14ac:dyDescent="0.15">
      <c r="A311" s="290"/>
      <c r="B311" s="303"/>
      <c r="C311" s="303"/>
      <c r="D311" s="301" t="s">
        <v>242</v>
      </c>
      <c r="E311" s="302" t="s">
        <v>288</v>
      </c>
      <c r="F311" s="303" t="s">
        <v>243</v>
      </c>
      <c r="G311" s="345" t="s">
        <v>25</v>
      </c>
      <c r="H311" s="345" t="s">
        <v>227</v>
      </c>
      <c r="I311" s="331">
        <f t="shared" si="26"/>
        <v>2.2998937219111105E-2</v>
      </c>
      <c r="J311" s="305">
        <v>1000000</v>
      </c>
      <c r="K311" s="346">
        <v>4</v>
      </c>
      <c r="L311" s="334">
        <f>J311/K311</f>
        <v>250000</v>
      </c>
      <c r="M311" s="334">
        <f>L311/N311</f>
        <v>0.625</v>
      </c>
      <c r="N311" s="347">
        <v>400000</v>
      </c>
      <c r="O311" s="348">
        <v>0.6</v>
      </c>
      <c r="P311" s="334">
        <f>N311*O311</f>
        <v>240000</v>
      </c>
      <c r="Q311" s="305">
        <f>J311*1000/P311</f>
        <v>4166.666666666667</v>
      </c>
      <c r="R311" s="333">
        <v>1.1000000000000001</v>
      </c>
      <c r="S311" s="334">
        <f>P311/R311</f>
        <v>218181.81818181818</v>
      </c>
      <c r="T311" s="306"/>
      <c r="U311" s="306"/>
      <c r="V311" s="306"/>
      <c r="W311" s="310"/>
      <c r="X311" s="306"/>
      <c r="Y311" s="310"/>
      <c r="Z311" s="306"/>
      <c r="AA311" s="306"/>
      <c r="AB311" s="311"/>
      <c r="AC311" s="311"/>
      <c r="AD311" s="311"/>
    </row>
    <row r="312" spans="1:30" ht="15.75" hidden="1" customHeight="1" x14ac:dyDescent="0.15">
      <c r="A312" s="290"/>
      <c r="B312" s="303"/>
      <c r="C312" s="303"/>
      <c r="D312" s="301" t="s">
        <v>244</v>
      </c>
      <c r="E312" s="302" t="s">
        <v>288</v>
      </c>
      <c r="F312" s="303" t="s">
        <v>243</v>
      </c>
      <c r="G312" s="345" t="s">
        <v>25</v>
      </c>
      <c r="H312" s="345" t="s">
        <v>245</v>
      </c>
      <c r="I312" s="331">
        <f t="shared" si="26"/>
        <v>2.2998937219111105E-2</v>
      </c>
      <c r="J312" s="305">
        <v>1000000</v>
      </c>
      <c r="K312" s="306"/>
      <c r="L312" s="306"/>
      <c r="M312" s="306"/>
      <c r="N312" s="306"/>
      <c r="O312" s="306"/>
      <c r="P312" s="306"/>
      <c r="Q312" s="306"/>
      <c r="R312" s="306"/>
      <c r="S312" s="306"/>
      <c r="T312" s="306"/>
      <c r="U312" s="306"/>
      <c r="V312" s="306"/>
      <c r="W312" s="310"/>
      <c r="X312" s="306"/>
      <c r="Y312" s="310"/>
      <c r="Z312" s="306"/>
      <c r="AA312" s="332">
        <v>1000</v>
      </c>
      <c r="AB312" s="340"/>
      <c r="AC312" s="340">
        <f>AA312*50000</f>
        <v>50000000</v>
      </c>
      <c r="AD312" s="340"/>
    </row>
    <row r="313" spans="1:30" ht="15.75" hidden="1" customHeight="1" x14ac:dyDescent="0.15">
      <c r="A313" s="290"/>
      <c r="B313" s="403"/>
      <c r="C313" s="403"/>
      <c r="D313" s="404" t="s">
        <v>277</v>
      </c>
      <c r="E313" s="302" t="s">
        <v>288</v>
      </c>
      <c r="F313" s="303" t="s">
        <v>210</v>
      </c>
      <c r="G313" s="303" t="s">
        <v>25</v>
      </c>
      <c r="H313" s="303" t="s">
        <v>227</v>
      </c>
      <c r="I313" s="331">
        <f t="shared" si="26"/>
        <v>0.11499468609555552</v>
      </c>
      <c r="J313" s="361">
        <v>5000000</v>
      </c>
      <c r="K313" s="359">
        <v>2</v>
      </c>
      <c r="L313" s="332">
        <f>M313*N313</f>
        <v>1000000</v>
      </c>
      <c r="M313" s="332">
        <v>100</v>
      </c>
      <c r="N313" s="332">
        <v>10000</v>
      </c>
      <c r="O313" s="360">
        <v>0.2</v>
      </c>
      <c r="P313" s="332">
        <f>N313*O313</f>
        <v>2000</v>
      </c>
      <c r="Q313" s="361">
        <f>J313*1000/P313</f>
        <v>2500000</v>
      </c>
      <c r="R313" s="362">
        <v>1.1000000000000001</v>
      </c>
      <c r="S313" s="332">
        <f>P313/R313</f>
        <v>1818.181818181818</v>
      </c>
      <c r="T313" s="306"/>
      <c r="U313" s="306"/>
      <c r="V313" s="306"/>
      <c r="W313" s="310"/>
      <c r="X313" s="306"/>
      <c r="Y313" s="310"/>
      <c r="Z313" s="306"/>
      <c r="AA313" s="332">
        <f>J313*5/70000</f>
        <v>357.14285714285717</v>
      </c>
      <c r="AB313" s="340"/>
      <c r="AC313" s="340">
        <f>AA313*50000</f>
        <v>17857142.857142858</v>
      </c>
      <c r="AD313" s="340"/>
    </row>
    <row r="314" spans="1:30" ht="15.75" hidden="1" customHeight="1" x14ac:dyDescent="0.15">
      <c r="A314" s="290"/>
      <c r="B314" s="403"/>
      <c r="C314" s="403"/>
      <c r="D314" s="405" t="s">
        <v>278</v>
      </c>
      <c r="E314" s="302" t="s">
        <v>288</v>
      </c>
      <c r="F314" s="406" t="s">
        <v>210</v>
      </c>
      <c r="G314" s="406" t="s">
        <v>25</v>
      </c>
      <c r="H314" s="406" t="s">
        <v>279</v>
      </c>
      <c r="I314" s="331">
        <f t="shared" si="26"/>
        <v>0.58601913005600015</v>
      </c>
      <c r="J314" s="407">
        <v>25480270</v>
      </c>
      <c r="K314" s="408"/>
      <c r="L314" s="408"/>
      <c r="M314" s="408"/>
      <c r="N314" s="408"/>
      <c r="O314" s="408"/>
      <c r="P314" s="408"/>
      <c r="Q314" s="408"/>
      <c r="R314" s="408"/>
      <c r="S314" s="408"/>
      <c r="T314" s="306"/>
      <c r="U314" s="306"/>
      <c r="V314" s="306"/>
      <c r="W314" s="310"/>
      <c r="X314" s="306"/>
      <c r="Y314" s="310"/>
      <c r="Z314" s="306"/>
      <c r="AA314" s="409">
        <v>3617</v>
      </c>
      <c r="AB314" s="410"/>
      <c r="AC314" s="410">
        <f>AA314*50000</f>
        <v>180850000</v>
      </c>
      <c r="AD314" s="340"/>
    </row>
    <row r="315" spans="1:30" ht="15.75" hidden="1" customHeight="1" x14ac:dyDescent="0.15">
      <c r="A315" s="290"/>
      <c r="B315" s="313"/>
      <c r="C315" s="313"/>
      <c r="D315" s="314" t="s">
        <v>27</v>
      </c>
      <c r="E315" s="315"/>
      <c r="F315" s="315"/>
      <c r="G315" s="315"/>
      <c r="H315" s="315"/>
      <c r="I315" s="316">
        <f>J315/J315</f>
        <v>1</v>
      </c>
      <c r="J315" s="317">
        <f>SUM(J293:J314)</f>
        <v>43480270</v>
      </c>
      <c r="K315" s="315"/>
      <c r="L315" s="318"/>
      <c r="M315" s="318">
        <f>SUM(M293:M314)</f>
        <v>113.625</v>
      </c>
      <c r="N315" s="318"/>
      <c r="O315" s="318"/>
      <c r="P315" s="318">
        <f>SUM(P293:P314)</f>
        <v>15462760.233918127</v>
      </c>
      <c r="Q315" s="318">
        <f>J315/P315*1000</f>
        <v>2811.9345668068013</v>
      </c>
      <c r="R315" s="319">
        <f>P315/T315</f>
        <v>5.5</v>
      </c>
      <c r="S315" s="318">
        <f>SUM(S293:S314)</f>
        <v>14057054.758107388</v>
      </c>
      <c r="T315" s="318">
        <f>S315/5</f>
        <v>2811410.9516214775</v>
      </c>
      <c r="U315" s="318"/>
      <c r="V315" s="318"/>
      <c r="W315" s="320"/>
      <c r="X315" s="318"/>
      <c r="Y315" s="320"/>
      <c r="Z315" s="318"/>
      <c r="AA315" s="318">
        <f>SUM(AA296:AA314)</f>
        <v>4974.1428571428569</v>
      </c>
      <c r="AB315" s="317"/>
      <c r="AC315" s="317">
        <f>SUM(AC296:AC314)</f>
        <v>248707142.85714287</v>
      </c>
      <c r="AD315" s="317"/>
    </row>
    <row r="316" spans="1:30" ht="15.75" hidden="1" customHeight="1" x14ac:dyDescent="0.15">
      <c r="A316" s="290"/>
      <c r="B316" s="313"/>
      <c r="C316" s="313"/>
      <c r="D316" s="313"/>
      <c r="E316" s="303"/>
      <c r="F316" s="303"/>
      <c r="G316" s="303"/>
      <c r="H316" s="303"/>
      <c r="I316" s="344"/>
      <c r="J316" s="411"/>
      <c r="K316" s="303"/>
      <c r="L316" s="412"/>
      <c r="M316" s="412"/>
      <c r="N316" s="412"/>
      <c r="O316" s="412"/>
      <c r="P316" s="412"/>
      <c r="Q316" s="412"/>
      <c r="R316" s="413"/>
      <c r="S316" s="412"/>
      <c r="T316" s="412"/>
      <c r="U316" s="412"/>
      <c r="V316" s="412"/>
      <c r="W316" s="414"/>
      <c r="X316" s="412"/>
      <c r="Y316" s="414"/>
      <c r="Z316" s="412"/>
      <c r="AA316" s="412"/>
      <c r="AB316" s="411"/>
      <c r="AC316" s="411"/>
      <c r="AD316" s="411"/>
    </row>
    <row r="317" spans="1:30" ht="15.75" hidden="1" customHeight="1" x14ac:dyDescent="0.15">
      <c r="A317" s="290"/>
      <c r="B317" s="390"/>
      <c r="C317" s="390"/>
      <c r="D317" s="295" t="s">
        <v>149</v>
      </c>
      <c r="E317" s="392"/>
      <c r="F317" s="296"/>
      <c r="G317" s="296"/>
      <c r="H317" s="296"/>
      <c r="I317" s="296"/>
      <c r="J317" s="296"/>
      <c r="K317" s="296"/>
      <c r="L317" s="296"/>
      <c r="M317" s="296"/>
      <c r="N317" s="296"/>
      <c r="O317" s="296"/>
      <c r="P317" s="296"/>
      <c r="Q317" s="296"/>
      <c r="R317" s="296"/>
      <c r="S317" s="296"/>
      <c r="T317" s="296"/>
      <c r="U317" s="296"/>
      <c r="V317" s="296"/>
      <c r="W317" s="297"/>
      <c r="X317" s="296"/>
      <c r="Y317" s="297"/>
      <c r="Z317" s="296"/>
      <c r="AA317" s="296"/>
      <c r="AB317" s="298"/>
      <c r="AC317" s="298"/>
      <c r="AD317" s="299"/>
    </row>
    <row r="318" spans="1:30" ht="15.75" hidden="1" customHeight="1" x14ac:dyDescent="0.15">
      <c r="A318" s="290"/>
      <c r="B318" s="303"/>
      <c r="C318" s="303"/>
      <c r="D318" s="301" t="s">
        <v>264</v>
      </c>
      <c r="E318" s="302" t="s">
        <v>289</v>
      </c>
      <c r="F318" s="303" t="s">
        <v>224</v>
      </c>
      <c r="G318" s="303" t="s">
        <v>22</v>
      </c>
      <c r="H318" s="303" t="s">
        <v>227</v>
      </c>
      <c r="I318" s="331">
        <f>J318/$J$340</f>
        <v>2.1874177325862134E-2</v>
      </c>
      <c r="J318" s="305">
        <v>1000000</v>
      </c>
      <c r="K318" s="306"/>
      <c r="L318" s="307"/>
      <c r="M318" s="307"/>
      <c r="N318" s="308"/>
      <c r="O318" s="309"/>
      <c r="P318" s="334">
        <f>J318/Q318*1000</f>
        <v>2631578.9473684211</v>
      </c>
      <c r="Q318" s="305">
        <v>380</v>
      </c>
      <c r="R318" s="333">
        <v>1.1000000000000001</v>
      </c>
      <c r="S318" s="334">
        <f>P318/R318</f>
        <v>2392344.4976076554</v>
      </c>
      <c r="T318" s="306"/>
      <c r="U318" s="306"/>
      <c r="V318" s="306"/>
      <c r="W318" s="310"/>
      <c r="X318" s="306"/>
      <c r="Y318" s="310"/>
      <c r="Z318" s="306"/>
      <c r="AA318" s="306"/>
      <c r="AB318" s="311"/>
      <c r="AC318" s="311"/>
      <c r="AD318" s="311"/>
    </row>
    <row r="319" spans="1:30" ht="15.75" hidden="1" customHeight="1" x14ac:dyDescent="0.15">
      <c r="A319" s="290"/>
      <c r="B319" s="303"/>
      <c r="C319" s="303"/>
      <c r="D319" s="301" t="s">
        <v>265</v>
      </c>
      <c r="E319" s="302" t="s">
        <v>289</v>
      </c>
      <c r="F319" s="303" t="s">
        <v>224</v>
      </c>
      <c r="G319" s="303" t="s">
        <v>22</v>
      </c>
      <c r="H319" s="303" t="s">
        <v>48</v>
      </c>
      <c r="I319" s="331">
        <f>J319/$J$340</f>
        <v>2.1874177325862134E-2</v>
      </c>
      <c r="J319" s="305">
        <v>1000000</v>
      </c>
      <c r="K319" s="306"/>
      <c r="L319" s="307"/>
      <c r="M319" s="307"/>
      <c r="N319" s="308"/>
      <c r="O319" s="309"/>
      <c r="P319" s="334">
        <f>J319/Q319*1000</f>
        <v>2631578.9473684211</v>
      </c>
      <c r="Q319" s="305">
        <v>380</v>
      </c>
      <c r="R319" s="333">
        <v>1.1000000000000001</v>
      </c>
      <c r="S319" s="334">
        <f>P319/R319</f>
        <v>2392344.4976076554</v>
      </c>
      <c r="T319" s="306"/>
      <c r="U319" s="306"/>
      <c r="V319" s="306"/>
      <c r="W319" s="310"/>
      <c r="X319" s="306"/>
      <c r="Y319" s="310"/>
      <c r="Z319" s="306"/>
      <c r="AA319" s="306"/>
      <c r="AB319" s="311"/>
      <c r="AC319" s="311"/>
      <c r="AD319" s="311"/>
    </row>
    <row r="320" spans="1:30" ht="15.75" hidden="1" customHeight="1" x14ac:dyDescent="0.15">
      <c r="A320" s="290"/>
      <c r="B320" s="303"/>
      <c r="C320" s="303"/>
      <c r="D320" s="301" t="s">
        <v>266</v>
      </c>
      <c r="E320" s="302" t="s">
        <v>289</v>
      </c>
      <c r="F320" s="303" t="s">
        <v>224</v>
      </c>
      <c r="G320" s="303" t="s">
        <v>22</v>
      </c>
      <c r="H320" s="303" t="s">
        <v>65</v>
      </c>
      <c r="I320" s="331">
        <f>J320/$J$340</f>
        <v>2.1874177325862134E-2</v>
      </c>
      <c r="J320" s="305">
        <v>1000000</v>
      </c>
      <c r="K320" s="306"/>
      <c r="L320" s="307"/>
      <c r="M320" s="307"/>
      <c r="N320" s="308"/>
      <c r="O320" s="309"/>
      <c r="P320" s="334">
        <f>J320/Q320*1000</f>
        <v>2222222.222222222</v>
      </c>
      <c r="Q320" s="305">
        <v>450</v>
      </c>
      <c r="R320" s="333">
        <v>1.1000000000000001</v>
      </c>
      <c r="S320" s="334">
        <f>P320/R320</f>
        <v>2020202.02020202</v>
      </c>
      <c r="T320" s="306"/>
      <c r="U320" s="306"/>
      <c r="V320" s="306"/>
      <c r="W320" s="310"/>
      <c r="X320" s="306"/>
      <c r="Y320" s="310"/>
      <c r="Z320" s="306"/>
      <c r="AA320" s="306"/>
      <c r="AB320" s="311"/>
      <c r="AC320" s="311"/>
      <c r="AD320" s="311"/>
    </row>
    <row r="321" spans="1:30" ht="15.75" hidden="1" customHeight="1" x14ac:dyDescent="0.15">
      <c r="A321" s="290"/>
      <c r="B321" s="303"/>
      <c r="C321" s="303"/>
      <c r="D321" s="301" t="s">
        <v>267</v>
      </c>
      <c r="E321" s="302" t="s">
        <v>289</v>
      </c>
      <c r="F321" s="303" t="s">
        <v>224</v>
      </c>
      <c r="G321" s="303" t="s">
        <v>22</v>
      </c>
      <c r="H321" s="303" t="s">
        <v>58</v>
      </c>
      <c r="I321" s="331">
        <f>J321/$J$340</f>
        <v>2.1874177325862134E-2</v>
      </c>
      <c r="J321" s="305">
        <v>1000000</v>
      </c>
      <c r="K321" s="306"/>
      <c r="L321" s="307"/>
      <c r="M321" s="307"/>
      <c r="N321" s="308"/>
      <c r="O321" s="309"/>
      <c r="P321" s="334">
        <f>J321/Q321*1000</f>
        <v>2222222.222222222</v>
      </c>
      <c r="Q321" s="305">
        <v>450</v>
      </c>
      <c r="R321" s="333">
        <v>1.1000000000000001</v>
      </c>
      <c r="S321" s="334">
        <f>P321/R321</f>
        <v>2020202.02020202</v>
      </c>
      <c r="T321" s="306"/>
      <c r="U321" s="306"/>
      <c r="V321" s="306"/>
      <c r="W321" s="310"/>
      <c r="X321" s="306"/>
      <c r="Y321" s="310"/>
      <c r="Z321" s="306"/>
      <c r="AA321" s="306"/>
      <c r="AB321" s="311"/>
      <c r="AC321" s="311"/>
      <c r="AD321" s="311"/>
    </row>
    <row r="322" spans="1:30" ht="15.75" hidden="1" customHeight="1" x14ac:dyDescent="0.15">
      <c r="A322" s="290"/>
      <c r="B322" s="303"/>
      <c r="C322" s="303"/>
      <c r="D322" s="393" t="s">
        <v>268</v>
      </c>
      <c r="E322" s="394"/>
      <c r="F322" s="395"/>
      <c r="G322" s="395"/>
      <c r="H322" s="395"/>
      <c r="I322" s="310"/>
      <c r="J322" s="396"/>
      <c r="K322" s="397"/>
      <c r="L322" s="398"/>
      <c r="M322" s="398"/>
      <c r="N322" s="399"/>
      <c r="O322" s="400"/>
      <c r="P322" s="398"/>
      <c r="Q322" s="396"/>
      <c r="R322" s="401"/>
      <c r="S322" s="398"/>
      <c r="T322" s="306"/>
      <c r="U322" s="306"/>
      <c r="V322" s="306"/>
      <c r="W322" s="310"/>
      <c r="X322" s="306"/>
      <c r="Y322" s="310"/>
      <c r="Z322" s="306"/>
      <c r="AA322" s="306"/>
      <c r="AB322" s="311"/>
      <c r="AC322" s="311"/>
      <c r="AD322" s="311"/>
    </row>
    <row r="323" spans="1:30" ht="15.75" hidden="1" customHeight="1" x14ac:dyDescent="0.15">
      <c r="A323" s="290"/>
      <c r="B323" s="303"/>
      <c r="C323" s="303"/>
      <c r="D323" s="393" t="s">
        <v>233</v>
      </c>
      <c r="E323" s="394"/>
      <c r="F323" s="395"/>
      <c r="G323" s="395"/>
      <c r="H323" s="395"/>
      <c r="I323" s="310"/>
      <c r="J323" s="396"/>
      <c r="K323" s="306"/>
      <c r="L323" s="307"/>
      <c r="M323" s="307"/>
      <c r="N323" s="308"/>
      <c r="O323" s="309"/>
      <c r="P323" s="398"/>
      <c r="Q323" s="396"/>
      <c r="R323" s="401"/>
      <c r="S323" s="398"/>
      <c r="T323" s="306"/>
      <c r="U323" s="306"/>
      <c r="V323" s="306"/>
      <c r="W323" s="310"/>
      <c r="X323" s="306"/>
      <c r="Y323" s="310"/>
      <c r="Z323" s="306"/>
      <c r="AA323" s="306"/>
      <c r="AB323" s="311"/>
      <c r="AC323" s="311"/>
      <c r="AD323" s="311"/>
    </row>
    <row r="324" spans="1:30" ht="15.75" hidden="1" customHeight="1" x14ac:dyDescent="0.15">
      <c r="A324" s="290"/>
      <c r="B324" s="303"/>
      <c r="C324" s="303"/>
      <c r="D324" s="393" t="s">
        <v>269</v>
      </c>
      <c r="E324" s="394"/>
      <c r="F324" s="395"/>
      <c r="G324" s="395"/>
      <c r="H324" s="395"/>
      <c r="I324" s="310"/>
      <c r="J324" s="396"/>
      <c r="K324" s="397"/>
      <c r="L324" s="398"/>
      <c r="M324" s="398"/>
      <c r="N324" s="399"/>
      <c r="O324" s="400"/>
      <c r="P324" s="398"/>
      <c r="Q324" s="396"/>
      <c r="R324" s="401"/>
      <c r="S324" s="398"/>
      <c r="T324" s="306"/>
      <c r="U324" s="306"/>
      <c r="V324" s="306"/>
      <c r="W324" s="310"/>
      <c r="X324" s="306"/>
      <c r="Y324" s="310"/>
      <c r="Z324" s="306"/>
      <c r="AA324" s="306"/>
      <c r="AB324" s="311"/>
      <c r="AC324" s="311"/>
      <c r="AD324" s="311"/>
    </row>
    <row r="325" spans="1:30" ht="15.75" hidden="1" customHeight="1" x14ac:dyDescent="0.15">
      <c r="A325" s="290"/>
      <c r="B325" s="303"/>
      <c r="C325" s="303"/>
      <c r="D325" s="393" t="s">
        <v>270</v>
      </c>
      <c r="E325" s="394"/>
      <c r="F325" s="395"/>
      <c r="G325" s="395"/>
      <c r="H325" s="395"/>
      <c r="I325" s="310"/>
      <c r="J325" s="396"/>
      <c r="K325" s="306"/>
      <c r="L325" s="307"/>
      <c r="M325" s="307"/>
      <c r="N325" s="308"/>
      <c r="O325" s="309"/>
      <c r="P325" s="398"/>
      <c r="Q325" s="396"/>
      <c r="R325" s="401"/>
      <c r="S325" s="398"/>
      <c r="T325" s="306"/>
      <c r="U325" s="306"/>
      <c r="V325" s="306"/>
      <c r="W325" s="310"/>
      <c r="X325" s="306"/>
      <c r="Y325" s="310"/>
      <c r="Z325" s="306"/>
      <c r="AA325" s="306"/>
      <c r="AB325" s="311"/>
      <c r="AC325" s="311"/>
      <c r="AD325" s="311"/>
    </row>
    <row r="326" spans="1:30" ht="15.75" hidden="1" customHeight="1" x14ac:dyDescent="0.15">
      <c r="A326" s="290"/>
      <c r="B326" s="303"/>
      <c r="C326" s="303"/>
      <c r="D326" s="393" t="s">
        <v>271</v>
      </c>
      <c r="E326" s="394"/>
      <c r="F326" s="395"/>
      <c r="G326" s="395"/>
      <c r="H326" s="395"/>
      <c r="I326" s="310"/>
      <c r="J326" s="396"/>
      <c r="K326" s="397"/>
      <c r="L326" s="398"/>
      <c r="M326" s="398"/>
      <c r="N326" s="399"/>
      <c r="O326" s="400"/>
      <c r="P326" s="398"/>
      <c r="Q326" s="396"/>
      <c r="R326" s="401"/>
      <c r="S326" s="398"/>
      <c r="T326" s="306"/>
      <c r="U326" s="306"/>
      <c r="V326" s="306"/>
      <c r="W326" s="310"/>
      <c r="X326" s="306"/>
      <c r="Y326" s="310"/>
      <c r="Z326" s="306"/>
      <c r="AA326" s="306"/>
      <c r="AB326" s="311"/>
      <c r="AC326" s="311"/>
      <c r="AD326" s="311"/>
    </row>
    <row r="327" spans="1:30" ht="15.75" hidden="1" customHeight="1" x14ac:dyDescent="0.15">
      <c r="A327" s="290"/>
      <c r="B327" s="303"/>
      <c r="C327" s="303"/>
      <c r="D327" s="393" t="s">
        <v>272</v>
      </c>
      <c r="E327" s="394"/>
      <c r="F327" s="395"/>
      <c r="G327" s="395"/>
      <c r="H327" s="395"/>
      <c r="I327" s="310"/>
      <c r="J327" s="396"/>
      <c r="K327" s="306"/>
      <c r="L327" s="307"/>
      <c r="M327" s="307"/>
      <c r="N327" s="308"/>
      <c r="O327" s="309"/>
      <c r="P327" s="398"/>
      <c r="Q327" s="396"/>
      <c r="R327" s="401"/>
      <c r="S327" s="398"/>
      <c r="T327" s="306"/>
      <c r="U327" s="306"/>
      <c r="V327" s="306"/>
      <c r="W327" s="310"/>
      <c r="X327" s="306"/>
      <c r="Y327" s="310"/>
      <c r="Z327" s="306"/>
      <c r="AA327" s="306"/>
      <c r="AB327" s="311"/>
      <c r="AC327" s="311"/>
      <c r="AD327" s="311"/>
    </row>
    <row r="328" spans="1:30" ht="15.75" hidden="1" customHeight="1" x14ac:dyDescent="0.15">
      <c r="A328" s="290"/>
      <c r="B328" s="303"/>
      <c r="C328" s="303"/>
      <c r="D328" s="301" t="s">
        <v>273</v>
      </c>
      <c r="E328" s="302" t="s">
        <v>289</v>
      </c>
      <c r="F328" s="303" t="s">
        <v>240</v>
      </c>
      <c r="G328" s="345" t="s">
        <v>19</v>
      </c>
      <c r="H328" s="345" t="s">
        <v>227</v>
      </c>
      <c r="I328" s="331">
        <f>J328/$J$340</f>
        <v>5.4685443314655337E-2</v>
      </c>
      <c r="J328" s="305">
        <v>2500000</v>
      </c>
      <c r="K328" s="346">
        <v>4</v>
      </c>
      <c r="L328" s="334">
        <f>J328/K328</f>
        <v>625000</v>
      </c>
      <c r="M328" s="334">
        <v>3</v>
      </c>
      <c r="N328" s="347">
        <f>L328/M328</f>
        <v>208333.33333333334</v>
      </c>
      <c r="O328" s="348">
        <v>0.2</v>
      </c>
      <c r="P328" s="334">
        <f>L328*O328</f>
        <v>125000</v>
      </c>
      <c r="Q328" s="305">
        <f>J328*1000/P328</f>
        <v>20000</v>
      </c>
      <c r="R328" s="333">
        <v>1.1000000000000001</v>
      </c>
      <c r="S328" s="334">
        <f>P328/R328</f>
        <v>113636.36363636363</v>
      </c>
      <c r="T328" s="306"/>
      <c r="U328" s="306"/>
      <c r="V328" s="306"/>
      <c r="W328" s="310"/>
      <c r="X328" s="306"/>
      <c r="Y328" s="310"/>
      <c r="Z328" s="306"/>
      <c r="AA328" s="306"/>
      <c r="AB328" s="311"/>
      <c r="AC328" s="311"/>
      <c r="AD328" s="311"/>
    </row>
    <row r="329" spans="1:30" ht="15.75" hidden="1" customHeight="1" x14ac:dyDescent="0.15">
      <c r="A329" s="290"/>
      <c r="B329" s="303"/>
      <c r="C329" s="303"/>
      <c r="D329" s="301" t="s">
        <v>274</v>
      </c>
      <c r="E329" s="302" t="s">
        <v>289</v>
      </c>
      <c r="F329" s="303" t="s">
        <v>240</v>
      </c>
      <c r="G329" s="345" t="s">
        <v>22</v>
      </c>
      <c r="H329" s="345" t="s">
        <v>227</v>
      </c>
      <c r="I329" s="331">
        <f>J329/$J$340</f>
        <v>2.1874177325862134E-2</v>
      </c>
      <c r="J329" s="305">
        <v>1000000</v>
      </c>
      <c r="K329" s="306"/>
      <c r="L329" s="307"/>
      <c r="M329" s="307"/>
      <c r="N329" s="308"/>
      <c r="O329" s="309"/>
      <c r="P329" s="334">
        <f>J329/Q329*1000</f>
        <v>2631578.9473684211</v>
      </c>
      <c r="Q329" s="305">
        <v>380</v>
      </c>
      <c r="R329" s="333">
        <v>1.1000000000000001</v>
      </c>
      <c r="S329" s="334">
        <f>P329/R329</f>
        <v>2392344.4976076554</v>
      </c>
      <c r="T329" s="306"/>
      <c r="U329" s="306"/>
      <c r="V329" s="306"/>
      <c r="W329" s="310"/>
      <c r="X329" s="306"/>
      <c r="Y329" s="310"/>
      <c r="Z329" s="306"/>
      <c r="AA329" s="306"/>
      <c r="AB329" s="311"/>
      <c r="AC329" s="311"/>
      <c r="AD329" s="311"/>
    </row>
    <row r="330" spans="1:30" ht="15.75" hidden="1" customHeight="1" x14ac:dyDescent="0.15">
      <c r="A330" s="290"/>
      <c r="B330" s="303"/>
      <c r="C330" s="303"/>
      <c r="D330" s="393" t="s">
        <v>241</v>
      </c>
      <c r="E330" s="394"/>
      <c r="F330" s="395"/>
      <c r="G330" s="402"/>
      <c r="H330" s="402"/>
      <c r="I330" s="310"/>
      <c r="J330" s="396"/>
      <c r="K330" s="397"/>
      <c r="L330" s="398"/>
      <c r="M330" s="398"/>
      <c r="N330" s="399"/>
      <c r="O330" s="400"/>
      <c r="P330" s="398"/>
      <c r="Q330" s="396"/>
      <c r="R330" s="401"/>
      <c r="S330" s="398"/>
      <c r="T330" s="306"/>
      <c r="U330" s="306"/>
      <c r="V330" s="306"/>
      <c r="W330" s="310"/>
      <c r="X330" s="306"/>
      <c r="Y330" s="310"/>
      <c r="Z330" s="306"/>
      <c r="AA330" s="306"/>
      <c r="AB330" s="311"/>
      <c r="AC330" s="311"/>
      <c r="AD330" s="311"/>
    </row>
    <row r="331" spans="1:30" ht="15.75" hidden="1" customHeight="1" x14ac:dyDescent="0.15">
      <c r="A331" s="290"/>
      <c r="B331" s="303"/>
      <c r="C331" s="303"/>
      <c r="D331" s="393" t="s">
        <v>235</v>
      </c>
      <c r="E331" s="394"/>
      <c r="F331" s="395"/>
      <c r="G331" s="402"/>
      <c r="H331" s="402"/>
      <c r="I331" s="310"/>
      <c r="J331" s="396"/>
      <c r="K331" s="306"/>
      <c r="L331" s="307"/>
      <c r="M331" s="307"/>
      <c r="N331" s="308"/>
      <c r="O331" s="309"/>
      <c r="P331" s="398"/>
      <c r="Q331" s="396"/>
      <c r="R331" s="401"/>
      <c r="S331" s="398"/>
      <c r="T331" s="306"/>
      <c r="U331" s="306"/>
      <c r="V331" s="306"/>
      <c r="W331" s="310"/>
      <c r="X331" s="306"/>
      <c r="Y331" s="310"/>
      <c r="Z331" s="306"/>
      <c r="AA331" s="306"/>
      <c r="AB331" s="311"/>
      <c r="AC331" s="311"/>
      <c r="AD331" s="311"/>
    </row>
    <row r="332" spans="1:30" ht="15.75" hidden="1" customHeight="1" x14ac:dyDescent="0.15">
      <c r="A332" s="290"/>
      <c r="B332" s="303"/>
      <c r="C332" s="303"/>
      <c r="D332" s="393" t="s">
        <v>239</v>
      </c>
      <c r="E332" s="394"/>
      <c r="F332" s="395"/>
      <c r="G332" s="402"/>
      <c r="H332" s="402"/>
      <c r="I332" s="310"/>
      <c r="J332" s="396"/>
      <c r="K332" s="397"/>
      <c r="L332" s="398"/>
      <c r="M332" s="398"/>
      <c r="N332" s="399"/>
      <c r="O332" s="400"/>
      <c r="P332" s="398"/>
      <c r="Q332" s="396"/>
      <c r="R332" s="401"/>
      <c r="S332" s="398"/>
      <c r="T332" s="306"/>
      <c r="U332" s="306"/>
      <c r="V332" s="306"/>
      <c r="W332" s="310"/>
      <c r="X332" s="306"/>
      <c r="Y332" s="310"/>
      <c r="Z332" s="306"/>
      <c r="AA332" s="306"/>
      <c r="AB332" s="311"/>
      <c r="AC332" s="311"/>
      <c r="AD332" s="311"/>
    </row>
    <row r="333" spans="1:30" ht="15.75" hidden="1" customHeight="1" x14ac:dyDescent="0.15">
      <c r="A333" s="290"/>
      <c r="B333" s="303"/>
      <c r="C333" s="303"/>
      <c r="D333" s="393" t="s">
        <v>234</v>
      </c>
      <c r="E333" s="394"/>
      <c r="F333" s="395"/>
      <c r="G333" s="402"/>
      <c r="H333" s="402"/>
      <c r="I333" s="310"/>
      <c r="J333" s="396"/>
      <c r="K333" s="306"/>
      <c r="L333" s="307"/>
      <c r="M333" s="307"/>
      <c r="N333" s="308"/>
      <c r="O333" s="309"/>
      <c r="P333" s="398"/>
      <c r="Q333" s="396"/>
      <c r="R333" s="401"/>
      <c r="S333" s="398"/>
      <c r="T333" s="306"/>
      <c r="U333" s="306"/>
      <c r="V333" s="306"/>
      <c r="W333" s="310"/>
      <c r="X333" s="306"/>
      <c r="Y333" s="310"/>
      <c r="Z333" s="306"/>
      <c r="AA333" s="306"/>
      <c r="AB333" s="311"/>
      <c r="AC333" s="311"/>
      <c r="AD333" s="311"/>
    </row>
    <row r="334" spans="1:30" ht="15.75" hidden="1" customHeight="1" x14ac:dyDescent="0.15">
      <c r="A334" s="290"/>
      <c r="B334" s="303"/>
      <c r="C334" s="303"/>
      <c r="D334" s="364" t="s">
        <v>275</v>
      </c>
      <c r="E334" s="302" t="s">
        <v>289</v>
      </c>
      <c r="F334" s="303" t="s">
        <v>240</v>
      </c>
      <c r="G334" s="345" t="s">
        <v>19</v>
      </c>
      <c r="H334" s="345" t="s">
        <v>227</v>
      </c>
      <c r="I334" s="331">
        <f t="shared" ref="I334:I339" si="27">J334/$J$340</f>
        <v>5.4685443314655337E-2</v>
      </c>
      <c r="J334" s="305">
        <v>2500000</v>
      </c>
      <c r="K334" s="346">
        <v>4</v>
      </c>
      <c r="L334" s="334">
        <f>J334/K334</f>
        <v>625000</v>
      </c>
      <c r="M334" s="334">
        <v>10</v>
      </c>
      <c r="N334" s="347">
        <f>L334/M334</f>
        <v>62500</v>
      </c>
      <c r="O334" s="348">
        <v>0.2</v>
      </c>
      <c r="P334" s="334">
        <f>L334*O334</f>
        <v>125000</v>
      </c>
      <c r="Q334" s="305">
        <f>J334*1000/P334</f>
        <v>20000</v>
      </c>
      <c r="R334" s="333">
        <v>1.1000000000000001</v>
      </c>
      <c r="S334" s="334">
        <f>P334/R334</f>
        <v>113636.36363636363</v>
      </c>
      <c r="T334" s="306"/>
      <c r="U334" s="306"/>
      <c r="V334" s="306"/>
      <c r="W334" s="310"/>
      <c r="X334" s="306"/>
      <c r="Y334" s="310"/>
      <c r="Z334" s="306"/>
      <c r="AA334" s="306"/>
      <c r="AB334" s="311"/>
      <c r="AC334" s="311"/>
      <c r="AD334" s="311"/>
    </row>
    <row r="335" spans="1:30" ht="15.75" hidden="1" customHeight="1" x14ac:dyDescent="0.15">
      <c r="A335" s="290"/>
      <c r="B335" s="303"/>
      <c r="C335" s="303"/>
      <c r="D335" s="364" t="s">
        <v>276</v>
      </c>
      <c r="E335" s="302" t="s">
        <v>289</v>
      </c>
      <c r="F335" s="303" t="s">
        <v>240</v>
      </c>
      <c r="G335" s="345" t="s">
        <v>22</v>
      </c>
      <c r="H335" s="345" t="s">
        <v>227</v>
      </c>
      <c r="I335" s="331">
        <f t="shared" si="27"/>
        <v>2.1874177325862134E-2</v>
      </c>
      <c r="J335" s="305">
        <v>1000000</v>
      </c>
      <c r="K335" s="306"/>
      <c r="L335" s="307"/>
      <c r="M335" s="307"/>
      <c r="N335" s="308"/>
      <c r="O335" s="309"/>
      <c r="P335" s="334">
        <f>J335/Q335*1000</f>
        <v>2631578.9473684211</v>
      </c>
      <c r="Q335" s="305">
        <v>380</v>
      </c>
      <c r="R335" s="333">
        <v>1.1000000000000001</v>
      </c>
      <c r="S335" s="334">
        <f>P335/R335</f>
        <v>2392344.4976076554</v>
      </c>
      <c r="T335" s="306"/>
      <c r="U335" s="306"/>
      <c r="V335" s="306"/>
      <c r="W335" s="310"/>
      <c r="X335" s="306"/>
      <c r="Y335" s="310"/>
      <c r="Z335" s="306"/>
      <c r="AA335" s="306"/>
      <c r="AB335" s="311"/>
      <c r="AC335" s="311"/>
      <c r="AD335" s="311"/>
    </row>
    <row r="336" spans="1:30" ht="15.75" hidden="1" customHeight="1" x14ac:dyDescent="0.15">
      <c r="A336" s="290"/>
      <c r="B336" s="303"/>
      <c r="C336" s="303"/>
      <c r="D336" s="301" t="s">
        <v>242</v>
      </c>
      <c r="E336" s="302" t="s">
        <v>289</v>
      </c>
      <c r="F336" s="303" t="s">
        <v>243</v>
      </c>
      <c r="G336" s="345" t="s">
        <v>25</v>
      </c>
      <c r="H336" s="345" t="s">
        <v>227</v>
      </c>
      <c r="I336" s="331">
        <f t="shared" si="27"/>
        <v>2.1874177325862134E-2</v>
      </c>
      <c r="J336" s="305">
        <v>1000000</v>
      </c>
      <c r="K336" s="346">
        <v>4</v>
      </c>
      <c r="L336" s="334">
        <f>J336/K336</f>
        <v>250000</v>
      </c>
      <c r="M336" s="334">
        <f>L336/N336</f>
        <v>0.625</v>
      </c>
      <c r="N336" s="347">
        <v>400000</v>
      </c>
      <c r="O336" s="348">
        <v>0.6</v>
      </c>
      <c r="P336" s="334">
        <f>N336*O336</f>
        <v>240000</v>
      </c>
      <c r="Q336" s="305">
        <f>J336*1000/P336</f>
        <v>4166.666666666667</v>
      </c>
      <c r="R336" s="333">
        <v>1.1000000000000001</v>
      </c>
      <c r="S336" s="334">
        <f>P336/R336</f>
        <v>218181.81818181818</v>
      </c>
      <c r="T336" s="306"/>
      <c r="U336" s="306"/>
      <c r="V336" s="306"/>
      <c r="W336" s="310"/>
      <c r="X336" s="306"/>
      <c r="Y336" s="310"/>
      <c r="Z336" s="306"/>
      <c r="AA336" s="306"/>
      <c r="AB336" s="311"/>
      <c r="AC336" s="311"/>
      <c r="AD336" s="311"/>
    </row>
    <row r="337" spans="1:30" ht="15.75" hidden="1" customHeight="1" x14ac:dyDescent="0.15">
      <c r="A337" s="290"/>
      <c r="B337" s="303"/>
      <c r="C337" s="303"/>
      <c r="D337" s="301" t="s">
        <v>244</v>
      </c>
      <c r="E337" s="302" t="s">
        <v>289</v>
      </c>
      <c r="F337" s="303" t="s">
        <v>243</v>
      </c>
      <c r="G337" s="345" t="s">
        <v>25</v>
      </c>
      <c r="H337" s="345" t="s">
        <v>245</v>
      </c>
      <c r="I337" s="331">
        <f t="shared" si="27"/>
        <v>2.1874177325862134E-2</v>
      </c>
      <c r="J337" s="305">
        <v>1000000</v>
      </c>
      <c r="K337" s="306"/>
      <c r="L337" s="306"/>
      <c r="M337" s="306"/>
      <c r="N337" s="306"/>
      <c r="O337" s="306"/>
      <c r="P337" s="306"/>
      <c r="Q337" s="306"/>
      <c r="R337" s="306"/>
      <c r="S337" s="306"/>
      <c r="T337" s="306"/>
      <c r="U337" s="306"/>
      <c r="V337" s="306"/>
      <c r="W337" s="310"/>
      <c r="X337" s="306"/>
      <c r="Y337" s="310"/>
      <c r="Z337" s="306"/>
      <c r="AA337" s="332">
        <v>1000</v>
      </c>
      <c r="AB337" s="340"/>
      <c r="AC337" s="340">
        <f>AA337*50000</f>
        <v>50000000</v>
      </c>
      <c r="AD337" s="340"/>
    </row>
    <row r="338" spans="1:30" ht="15.75" hidden="1" customHeight="1" x14ac:dyDescent="0.15">
      <c r="A338" s="290"/>
      <c r="B338" s="403"/>
      <c r="C338" s="403"/>
      <c r="D338" s="404" t="s">
        <v>277</v>
      </c>
      <c r="E338" s="302" t="s">
        <v>289</v>
      </c>
      <c r="F338" s="303" t="s">
        <v>210</v>
      </c>
      <c r="G338" s="303" t="s">
        <v>25</v>
      </c>
      <c r="H338" s="303" t="s">
        <v>227</v>
      </c>
      <c r="I338" s="331">
        <f t="shared" si="27"/>
        <v>0.10937088662931067</v>
      </c>
      <c r="J338" s="361">
        <v>5000000</v>
      </c>
      <c r="K338" s="359">
        <v>2</v>
      </c>
      <c r="L338" s="332">
        <f>M338*N338</f>
        <v>1000000</v>
      </c>
      <c r="M338" s="332">
        <v>100</v>
      </c>
      <c r="N338" s="332">
        <v>10000</v>
      </c>
      <c r="O338" s="360">
        <v>0.2</v>
      </c>
      <c r="P338" s="332">
        <f>N338*O338</f>
        <v>2000</v>
      </c>
      <c r="Q338" s="361">
        <f>J338*1000/P338</f>
        <v>2500000</v>
      </c>
      <c r="R338" s="362">
        <v>1.1000000000000001</v>
      </c>
      <c r="S338" s="332">
        <f>P338/R338</f>
        <v>1818.181818181818</v>
      </c>
      <c r="T338" s="306"/>
      <c r="U338" s="306"/>
      <c r="V338" s="306"/>
      <c r="W338" s="310"/>
      <c r="X338" s="306"/>
      <c r="Y338" s="310"/>
      <c r="Z338" s="306"/>
      <c r="AA338" s="332">
        <f>J338*5/70000</f>
        <v>357.14285714285717</v>
      </c>
      <c r="AB338" s="340"/>
      <c r="AC338" s="340">
        <f>AA338*50000</f>
        <v>17857142.857142858</v>
      </c>
      <c r="AD338" s="340"/>
    </row>
    <row r="339" spans="1:30" ht="15.75" hidden="1" customHeight="1" x14ac:dyDescent="0.15">
      <c r="A339" s="290"/>
      <c r="B339" s="403"/>
      <c r="C339" s="403"/>
      <c r="D339" s="405" t="s">
        <v>278</v>
      </c>
      <c r="E339" s="302" t="s">
        <v>289</v>
      </c>
      <c r="F339" s="406" t="s">
        <v>210</v>
      </c>
      <c r="G339" s="406" t="s">
        <v>25</v>
      </c>
      <c r="H339" s="406" t="s">
        <v>279</v>
      </c>
      <c r="I339" s="331">
        <f t="shared" si="27"/>
        <v>0.60626480813448158</v>
      </c>
      <c r="J339" s="407">
        <v>27716005</v>
      </c>
      <c r="K339" s="408"/>
      <c r="L339" s="408"/>
      <c r="M339" s="408"/>
      <c r="N339" s="408"/>
      <c r="O339" s="408"/>
      <c r="P339" s="408"/>
      <c r="Q339" s="408"/>
      <c r="R339" s="408"/>
      <c r="S339" s="408"/>
      <c r="T339" s="306"/>
      <c r="U339" s="306"/>
      <c r="V339" s="306"/>
      <c r="W339" s="310"/>
      <c r="X339" s="306"/>
      <c r="Y339" s="310"/>
      <c r="Z339" s="306"/>
      <c r="AA339" s="409">
        <v>4003</v>
      </c>
      <c r="AB339" s="410"/>
      <c r="AC339" s="410">
        <f>AA339*50000</f>
        <v>200150000</v>
      </c>
      <c r="AD339" s="340"/>
    </row>
    <row r="340" spans="1:30" ht="15.75" hidden="1" customHeight="1" x14ac:dyDescent="0.15">
      <c r="A340" s="290"/>
      <c r="B340" s="313"/>
      <c r="C340" s="313"/>
      <c r="D340" s="314" t="s">
        <v>27</v>
      </c>
      <c r="E340" s="315"/>
      <c r="F340" s="315"/>
      <c r="G340" s="315"/>
      <c r="H340" s="315"/>
      <c r="I340" s="316">
        <f>J340/J340</f>
        <v>1</v>
      </c>
      <c r="J340" s="317">
        <f>SUM(J318:J339)</f>
        <v>45716005</v>
      </c>
      <c r="K340" s="315"/>
      <c r="L340" s="318"/>
      <c r="M340" s="318">
        <f>SUM(M318:M339)</f>
        <v>113.625</v>
      </c>
      <c r="N340" s="318"/>
      <c r="O340" s="318"/>
      <c r="P340" s="318">
        <f>SUM(P318:P339)</f>
        <v>15462760.233918127</v>
      </c>
      <c r="Q340" s="318">
        <f>J340/P340*1000</f>
        <v>2956.5229175396694</v>
      </c>
      <c r="R340" s="319">
        <f>P340/T340</f>
        <v>5.5</v>
      </c>
      <c r="S340" s="318">
        <f>SUM(S318:S339)</f>
        <v>14057054.758107388</v>
      </c>
      <c r="T340" s="318">
        <f>S340/5</f>
        <v>2811410.9516214775</v>
      </c>
      <c r="U340" s="318"/>
      <c r="V340" s="318"/>
      <c r="W340" s="320"/>
      <c r="X340" s="318"/>
      <c r="Y340" s="320"/>
      <c r="Z340" s="318"/>
      <c r="AA340" s="318">
        <f>SUM(AA321:AA339)</f>
        <v>5360.1428571428569</v>
      </c>
      <c r="AB340" s="317"/>
      <c r="AC340" s="317">
        <f>SUM(AC321:AC339)</f>
        <v>268007142.85714287</v>
      </c>
      <c r="AD340" s="317"/>
    </row>
  </sheetData>
  <mergeCells count="1">
    <mergeCell ref="B55:D55"/>
  </mergeCells>
  <phoneticPr fontId="26"/>
  <conditionalFormatting sqref="I5:I8 I15:I34 I37 I44:I54 I56:I59 I62">
    <cfRule type="colorScale" priority="3">
      <colorScale>
        <cfvo type="min"/>
        <cfvo type="percentile" val="50"/>
        <cfvo type="max"/>
        <color rgb="FFE67C73"/>
        <color rgb="FFFFFFFF"/>
        <color rgb="FF57BB8A"/>
      </colorScale>
    </cfRule>
  </conditionalFormatting>
  <conditionalFormatting sqref="I44:I54 I56:I59 I68:I88 I93:I114 I118:I139 I143:I164 I168:I189 I193:I214 I218:I239 I243:I264 I268:I289 I293:I314 I318:I339">
    <cfRule type="colorScale" priority="1">
      <colorScale>
        <cfvo type="min"/>
        <cfvo type="max"/>
        <color rgb="FFFFFFFF"/>
        <color rgb="FF57BB8A"/>
      </colorScale>
    </cfRule>
  </conditionalFormatting>
  <conditionalFormatting sqref="I44:I54 I56:I59 I68:I89">
    <cfRule type="colorScale" priority="2">
      <colorScale>
        <cfvo type="min"/>
        <cfvo type="percentile" val="50"/>
        <cfvo type="max"/>
        <color rgb="FFE67C73"/>
        <color rgb="FFFFFFFF"/>
        <color rgb="FF57BB8A"/>
      </colorScale>
    </cfRule>
  </conditionalFormatting>
  <conditionalFormatting sqref="I253:I254 I259:I264 I278:I279 I284:I285 I303:I304 I309:I310 I328:I329 I334:I335">
    <cfRule type="colorScale" priority="4">
      <colorScale>
        <cfvo type="min"/>
        <cfvo type="percentile" val="50"/>
        <cfvo type="max"/>
        <color rgb="FFE67C73"/>
        <color rgb="FFFFFFFF"/>
        <color rgb="FF57BB8A"/>
      </colorScale>
    </cfRule>
  </conditionalFormatting>
  <dataValidations count="5">
    <dataValidation type="list" allowBlank="1" showErrorMessage="1" sqref="F5:F8 F15:F34 F37 F44:F54 F56:F59 F62 F68:F89 F93:F114 F118:F139 F143:F164 F168:F189 F193:F214 F218:F239 F243:F264 F268:F289 F293:F314 F318:F339" xr:uid="{00000000-0002-0000-0500-000000000000}">
      <formula1>"認知,興味・理解,比較検討,購入,話題感,その他"</formula1>
    </dataValidation>
    <dataValidation type="list" allowBlank="1" showErrorMessage="1" sqref="H5:H8 H15:H30 H33 H44:H54 H68:H87 H93:H112 H118:H137 H143:H162 H168:H187 H193:H212 H218:H237 H243:H262 H268:H287 H293:H312 H318:H337" xr:uid="{00000000-0002-0000-0500-000001000000}">
      <formula1>"X,IG Feed,IG Reel,TikTok,YouTube,オフライン,美容メディア,mybest,全媒体,X/IG/TT,X/IG,Instagram,YT short,楽天/Amazon"</formula1>
    </dataValidation>
    <dataValidation type="list" allowBlank="1" showErrorMessage="1" sqref="H31:H32 H34 H37 H56:H59 H62 H88:H89 H113:H114 H138:H139 H163:H164 H188:H189 H213:H214 H238:H239 H263:H264 H288:H289 H313:H314 H338:H339" xr:uid="{00000000-0002-0000-0500-000002000000}">
      <formula1>"X,TikTok,YouTube,オフライン,美容メディア,lemon8,全媒体,X/IG/TT,X/IG,Instagram,YT short,楽天 / amazon,交通広告,RED/IG/TT"</formula1>
    </dataValidation>
    <dataValidation type="list" allowBlank="1" showErrorMessage="1" sqref="G5:G8 G15:G34 G37 G44:G54 G56:G59 G62 G68:G89 G93:G114 G118:G139 G143:G164 G168:G189 G193:G214 G218:G239 G243:G264 G268:G289 G293:G314 G318:G339" xr:uid="{00000000-0002-0000-0500-000003000000}">
      <formula1>"配信無,配信有,広告配信"</formula1>
    </dataValidation>
    <dataValidation type="list" allowBlank="1" showErrorMessage="1" sqref="E5:E8 E15:E34 E37 E44:E54 E56:E59 E62 E68:E89 E93:E114 E118:E139 E143:E164 E168:E189 E193:E214 E218:E239 E243:E264 E268:E289 E293:E314 E318:E339" xr:uid="{00000000-0002-0000-0500-000004000000}">
      <formula1>"All,25年6月,25年7月,25年8月,25年9月,25年10月,25年11月,25年12月,26年1月,26年2月,26年3月,26年4月,26年5月,最短"</formula1>
    </dataValidation>
  </dataValidations>
  <hyperlinks>
    <hyperlink ref="D14" r:id="rId1" location="slide=id.g35735bdbce1_2_253" xr:uid="{00000000-0004-0000-0500-000000000000}"/>
    <hyperlink ref="D43" r:id="rId2" location="slide=id.g35735bdbe87_0_0" xr:uid="{00000000-0004-0000-0500-000001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vt:i4>
      </vt:variant>
    </vt:vector>
  </HeadingPairs>
  <TitlesOfParts>
    <vt:vector size="6" baseType="lpstr">
      <vt:lpstr>メディアプラン のFMT</vt:lpstr>
      <vt:lpstr>【レイアウト見本】回復済み_Sheet1</vt:lpstr>
      <vt:lpstr>【レイアウト見本】回復済み_Sheet2</vt:lpstr>
      <vt:lpstr>【レイアウト見本】回復済み_Sheet3</vt:lpstr>
      <vt:lpstr>【レイアウト見本】回復済み_Sheet4</vt:lpstr>
      <vt:lpstr>【レイアウト見本】★最新_社内SIM_523作成 のコピー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Umezu Yuhi</cp:lastModifiedBy>
  <dcterms:created xsi:type="dcterms:W3CDTF">2026-02-03T00:31:04Z</dcterms:created>
  <dcterms:modified xsi:type="dcterms:W3CDTF">2026-02-03T01:36:37Z</dcterms:modified>
</cp:coreProperties>
</file>